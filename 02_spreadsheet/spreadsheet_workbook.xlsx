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Transactions" sheetId="1" state="visible" r:id="rId3"/>
    <sheet name="Exchange_Rates" sheetId="2" state="visible" r:id="rId4"/>
    <sheet name="Merchant_Master" sheetId="3" state="visible" r:id="rId5"/>
    <sheet name="Cleaned_Transactions" sheetId="4" state="visible" r:id="rId6"/>
    <sheet name="Merchant_Risk_Summary" sheetId="5" state="visible" r:id="rId7"/>
    <sheet name="Summary_KPI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<sst xmlns="http://schemas.openxmlformats.org/spreadsheetml/2006/main" count="729" uniqueCount="178">
  <si>
    <t xml:space="preserve">transaction_id</t>
  </si>
  <si>
    <t xml:space="preserve">transaction_date</t>
  </si>
  <si>
    <t xml:space="preserve">merchant_name</t>
  </si>
  <si>
    <t xml:space="preserve">raw_amount</t>
  </si>
  <si>
    <t xml:space="preserve">currency</t>
  </si>
  <si>
    <t xml:space="preserve">status</t>
  </si>
  <si>
    <t xml:space="preserve">risk_score</t>
  </si>
  <si>
    <t xml:space="preserve">gateway_region</t>
  </si>
  <si>
    <t xml:space="preserve">user_id</t>
  </si>
  <si>
    <t xml:space="preserve">payment_method</t>
  </si>
  <si>
    <t xml:space="preserve">T001</t>
  </si>
  <si>
    <t xml:space="preserve">2026-03-01</t>
  </si>
  <si>
    <t xml:space="preserve"> alpha mart </t>
  </si>
  <si>
    <t xml:space="preserve">INR</t>
  </si>
  <si>
    <t xml:space="preserve">captured</t>
  </si>
  <si>
    <t xml:space="preserve">score:62</t>
  </si>
  <si>
    <t xml:space="preserve">APAC</t>
  </si>
  <si>
    <t xml:space="preserve">U001</t>
  </si>
  <si>
    <t xml:space="preserve">UPI</t>
  </si>
  <si>
    <t xml:space="preserve">T002</t>
  </si>
  <si>
    <t xml:space="preserve">ALPHA MART</t>
  </si>
  <si>
    <t xml:space="preserve">Captured </t>
  </si>
  <si>
    <t xml:space="preserve">55</t>
  </si>
  <si>
    <t xml:space="preserve">U002</t>
  </si>
  <si>
    <t xml:space="preserve">Card</t>
  </si>
  <si>
    <t xml:space="preserve">T003</t>
  </si>
  <si>
    <t xml:space="preserve">BETA STORES </t>
  </si>
  <si>
    <t xml:space="preserve"> CAPTURED</t>
  </si>
  <si>
    <t xml:space="preserve">71</t>
  </si>
  <si>
    <t xml:space="preserve"> APAC </t>
  </si>
  <si>
    <t xml:space="preserve">U003</t>
  </si>
  <si>
    <t xml:space="preserve">NetBanking</t>
  </si>
  <si>
    <t xml:space="preserve">T004</t>
  </si>
  <si>
    <t xml:space="preserve">2026-03-02</t>
  </si>
  <si>
    <t xml:space="preserve">Beta  Stores</t>
  </si>
  <si>
    <t xml:space="preserve"> failed e05 timeout </t>
  </si>
  <si>
    <t xml:space="preserve">68</t>
  </si>
  <si>
    <t xml:space="preserve">apac</t>
  </si>
  <si>
    <t xml:space="preserve">U004</t>
  </si>
  <si>
    <t xml:space="preserve">T005</t>
  </si>
  <si>
    <t xml:space="preserve">Alpha Mart</t>
  </si>
  <si>
    <t xml:space="preserve">58 </t>
  </si>
  <si>
    <t xml:space="preserve">T006</t>
  </si>
  <si>
    <t xml:space="preserve">score:64</t>
  </si>
  <si>
    <t xml:space="preserve">U005</t>
  </si>
  <si>
    <t xml:space="preserve">Wallet</t>
  </si>
  <si>
    <t xml:space="preserve">T007</t>
  </si>
  <si>
    <t xml:space="preserve">Alpha  Mart</t>
  </si>
  <si>
    <t xml:space="preserve">chargeback</t>
  </si>
  <si>
    <t xml:space="preserve">risk-83</t>
  </si>
  <si>
    <t xml:space="preserve">U006</t>
  </si>
  <si>
    <t xml:space="preserve">T008</t>
  </si>
  <si>
    <t xml:space="preserve">2026-03-03</t>
  </si>
  <si>
    <t xml:space="preserve">59 </t>
  </si>
  <si>
    <t xml:space="preserve">U007</t>
  </si>
  <si>
    <t xml:space="preserve">T009</t>
  </si>
  <si>
    <t xml:space="preserve">46</t>
  </si>
  <si>
    <t xml:space="preserve">T010</t>
  </si>
  <si>
    <t xml:space="preserve">Beta Stores</t>
  </si>
  <si>
    <t xml:space="preserve">risk-77</t>
  </si>
  <si>
    <t xml:space="preserve">T011</t>
  </si>
  <si>
    <t xml:space="preserve">FAILED e05 TIMEOUT</t>
  </si>
  <si>
    <t xml:space="preserve">U008</t>
  </si>
  <si>
    <t xml:space="preserve">T012</t>
  </si>
  <si>
    <t xml:space="preserve">2026-03-04</t>
  </si>
  <si>
    <t xml:space="preserve">captured </t>
  </si>
  <si>
    <t xml:space="preserve">risk-61</t>
  </si>
  <si>
    <t xml:space="preserve">U009</t>
  </si>
  <si>
    <t xml:space="preserve">T013</t>
  </si>
  <si>
    <t xml:space="preserve">score:54</t>
  </si>
  <si>
    <t xml:space="preserve">U010</t>
  </si>
  <si>
    <t xml:space="preserve">T014</t>
  </si>
  <si>
    <t xml:space="preserve">risk-73</t>
  </si>
  <si>
    <t xml:space="preserve">T015</t>
  </si>
  <si>
    <t xml:space="preserve">score:52</t>
  </si>
  <si>
    <t xml:space="preserve">T016</t>
  </si>
  <si>
    <t xml:space="preserve">2026-03-05</t>
  </si>
  <si>
    <t xml:space="preserve">failed E05 timeout</t>
  </si>
  <si>
    <t xml:space="preserve">risk-69</t>
  </si>
  <si>
    <t xml:space="preserve">T017</t>
  </si>
  <si>
    <t xml:space="preserve">Failed E05 Timeout</t>
  </si>
  <si>
    <t xml:space="preserve">score:72</t>
  </si>
  <si>
    <t xml:space="preserve">T018</t>
  </si>
  <si>
    <t xml:space="preserve"> chargeback </t>
  </si>
  <si>
    <t xml:space="preserve">risk-86</t>
  </si>
  <si>
    <t xml:space="preserve">T019</t>
  </si>
  <si>
    <t xml:space="preserve">score:67</t>
  </si>
  <si>
    <t xml:space="preserve">T020</t>
  </si>
  <si>
    <t xml:space="preserve">75 </t>
  </si>
  <si>
    <t xml:space="preserve">T021</t>
  </si>
  <si>
    <t xml:space="preserve">2026-03-06</t>
  </si>
  <si>
    <t xml:space="preserve"> beta stores</t>
  </si>
  <si>
    <t xml:space="preserve">score:63</t>
  </si>
  <si>
    <t xml:space="preserve">T022</t>
  </si>
  <si>
    <t xml:space="preserve">60 </t>
  </si>
  <si>
    <t xml:space="preserve">T023</t>
  </si>
  <si>
    <t xml:space="preserve">City Pharma</t>
  </si>
  <si>
    <t xml:space="preserve">EUR</t>
  </si>
  <si>
    <t xml:space="preserve">42</t>
  </si>
  <si>
    <t xml:space="preserve"> EU </t>
  </si>
  <si>
    <t xml:space="preserve">T024</t>
  </si>
  <si>
    <t xml:space="preserve">Eco Home</t>
  </si>
  <si>
    <t xml:space="preserve">score:65</t>
  </si>
  <si>
    <t xml:space="preserve">EU</t>
  </si>
  <si>
    <t xml:space="preserve">T025</t>
  </si>
  <si>
    <t xml:space="preserve">38 </t>
  </si>
  <si>
    <t xml:space="preserve">eu</t>
  </si>
  <si>
    <t xml:space="preserve">T026</t>
  </si>
  <si>
    <t xml:space="preserve">44</t>
  </si>
  <si>
    <t xml:space="preserve">T027</t>
  </si>
  <si>
    <t xml:space="preserve">DELTA TRAVELS</t>
  </si>
  <si>
    <t xml:space="preserve">USD</t>
  </si>
  <si>
    <t xml:space="preserve">49 </t>
  </si>
  <si>
    <t xml:space="preserve">us</t>
  </si>
  <si>
    <t xml:space="preserve">T028</t>
  </si>
  <si>
    <t xml:space="preserve">Delta Travels</t>
  </si>
  <si>
    <t xml:space="preserve">risk-41</t>
  </si>
  <si>
    <t xml:space="preserve">US</t>
  </si>
  <si>
    <t xml:space="preserve">T029</t>
  </si>
  <si>
    <t xml:space="preserve">delta travels </t>
  </si>
  <si>
    <t xml:space="preserve">score:58</t>
  </si>
  <si>
    <t xml:space="preserve">T030</t>
  </si>
  <si>
    <t xml:space="preserve">score:47</t>
  </si>
  <si>
    <t xml:space="preserve">rate_date</t>
  </si>
  <si>
    <t xml:space="preserve">usd_rate</t>
  </si>
  <si>
    <t xml:space="preserve">merchant_id</t>
  </si>
  <si>
    <t xml:space="preserve">account_manager</t>
  </si>
  <si>
    <t xml:space="preserve">merchant_category</t>
  </si>
  <si>
    <t xml:space="preserve">default_region</t>
  </si>
  <si>
    <t xml:space="preserve">M001</t>
  </si>
  <si>
    <t xml:space="preserve">Aisha Khan</t>
  </si>
  <si>
    <t xml:space="preserve">Grocery</t>
  </si>
  <si>
    <t xml:space="preserve">M002</t>
  </si>
  <si>
    <t xml:space="preserve">Rohan Mehta</t>
  </si>
  <si>
    <t xml:space="preserve">Electronics</t>
  </si>
  <si>
    <t xml:space="preserve">M003</t>
  </si>
  <si>
    <t xml:space="preserve">Elena Rossi</t>
  </si>
  <si>
    <t xml:space="preserve">Healthcare</t>
  </si>
  <si>
    <t xml:space="preserve">M004</t>
  </si>
  <si>
    <t xml:space="preserve">Marcus Lee</t>
  </si>
  <si>
    <t xml:space="preserve">Travel</t>
  </si>
  <si>
    <t xml:space="preserve">M005</t>
  </si>
  <si>
    <t xml:space="preserve">Nina Weber</t>
  </si>
  <si>
    <t xml:space="preserve">Home</t>
  </si>
  <si>
    <t xml:space="preserve">amount_usd</t>
  </si>
  <si>
    <t xml:space="preserve">high_value_flag</t>
  </si>
  <si>
    <t xml:space="preserve">high_risk_flag</t>
  </si>
  <si>
    <t xml:space="preserve">failed</t>
  </si>
  <si>
    <t xml:space="preserve">total_transactions</t>
  </si>
  <si>
    <t xml:space="preserve">captured_gmv_usd</t>
  </si>
  <si>
    <t xml:space="preserve">chargeback_count</t>
  </si>
  <si>
    <t xml:space="preserve">failed_count</t>
  </si>
  <si>
    <t xml:space="preserve">avg_risk_score</t>
  </si>
  <si>
    <t xml:space="preserve">high_risk_count</t>
  </si>
  <si>
    <t xml:space="preserve">high_value_count</t>
  </si>
  <si>
    <t xml:space="preserve">chargeback_ratio_pct</t>
  </si>
  <si>
    <t xml:space="preserve">QuickPay – Spreadsheet Summary KPIs</t>
  </si>
  <si>
    <t xml:space="preserve">KPI</t>
  </si>
  <si>
    <t xml:space="preserve">Value</t>
  </si>
  <si>
    <t xml:space="preserve">Notes</t>
  </si>
  <si>
    <t xml:space="preserve">Total Raw Rows</t>
  </si>
  <si>
    <t xml:space="preserve">Original transactions_raw.csv</t>
  </si>
  <si>
    <t xml:space="preserve">Total Cleaned Rows</t>
  </si>
  <si>
    <t xml:space="preserve">No rows dropped, all handled</t>
  </si>
  <si>
    <t xml:space="preserve">Missing Risk Scores Fixed</t>
  </si>
  <si>
    <t xml:space="preserve">T011 – filled with median (61.0)</t>
  </si>
  <si>
    <t xml:space="preserve">Missing Regions Filled</t>
  </si>
  <si>
    <t xml:space="preserve">9 rows had blank / invalid region – filled from Merchant Master</t>
  </si>
  <si>
    <t xml:space="preserve">High Value Transactions</t>
  </si>
  <si>
    <t xml:space="preserve">APAC&gt;5000 | EU&gt;6000 | US&gt;7000 USD</t>
  </si>
  <si>
    <t xml:space="preserve">High Risk Transactions</t>
  </si>
  <si>
    <t xml:space="preserve">risk_score ≥ 70 OR status = chargeback</t>
  </si>
  <si>
    <t xml:space="preserve">Top Region by GMV</t>
  </si>
  <si>
    <t xml:space="preserve">$63,415.50 captured GMV</t>
  </si>
  <si>
    <t xml:space="preserve">Top Merchant (Captured GMV)</t>
  </si>
  <si>
    <t xml:space="preserve">$33,431.00 captured GMV</t>
  </si>
  <si>
    <t xml:space="preserve">Total Captured GMV (USD)</t>
  </si>
  <si>
    <t xml:space="preserve">Across Alpha Mart, Beta Stores, City Pharma, Delta Travels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</si>
</sst>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0"/>
    <numFmt numFmtId="167" formatCode="General"/>
    <numFmt numFmtId="168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CCFFFF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n">
        <v>420000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customFormat="false" ht="15" hidden="false" customHeight="false" outlineLevel="0" collapsed="false">
      <c r="A3" s="3" t="s">
        <v>19</v>
      </c>
      <c r="B3" s="3" t="s">
        <v>11</v>
      </c>
      <c r="C3" s="3" t="s">
        <v>20</v>
      </c>
      <c r="D3" s="3" t="n">
        <v>210000</v>
      </c>
      <c r="E3" s="3" t="s">
        <v>13</v>
      </c>
      <c r="F3" s="3" t="s">
        <v>21</v>
      </c>
      <c r="G3" s="3" t="s">
        <v>22</v>
      </c>
      <c r="H3" s="3"/>
      <c r="I3" s="3" t="s">
        <v>23</v>
      </c>
      <c r="J3" s="3" t="s">
        <v>24</v>
      </c>
    </row>
    <row r="4" customFormat="false" ht="15" hidden="false" customHeight="false" outlineLevel="0" collapsed="false">
      <c r="A4" s="2" t="s">
        <v>25</v>
      </c>
      <c r="B4" s="2" t="s">
        <v>11</v>
      </c>
      <c r="C4" s="2" t="s">
        <v>26</v>
      </c>
      <c r="D4" s="2" t="n">
        <v>510000</v>
      </c>
      <c r="E4" s="2" t="s">
        <v>13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</row>
    <row r="5" customFormat="false" ht="15" hidden="false" customHeight="false" outlineLevel="0" collapsed="false">
      <c r="A5" s="3" t="s">
        <v>32</v>
      </c>
      <c r="B5" s="3" t="s">
        <v>33</v>
      </c>
      <c r="C5" s="3" t="s">
        <v>34</v>
      </c>
      <c r="D5" s="3" t="n">
        <v>160000</v>
      </c>
      <c r="E5" s="3" t="s">
        <v>13</v>
      </c>
      <c r="F5" s="3" t="s">
        <v>35</v>
      </c>
      <c r="G5" s="3" t="s">
        <v>36</v>
      </c>
      <c r="H5" s="3" t="s">
        <v>37</v>
      </c>
      <c r="I5" s="3" t="s">
        <v>38</v>
      </c>
      <c r="J5" s="3" t="s">
        <v>24</v>
      </c>
    </row>
    <row r="6" customFormat="false" ht="15" hidden="false" customHeight="false" outlineLevel="0" collapsed="false">
      <c r="A6" s="2" t="s">
        <v>39</v>
      </c>
      <c r="B6" s="2" t="s">
        <v>33</v>
      </c>
      <c r="C6" s="2" t="s">
        <v>40</v>
      </c>
      <c r="D6" s="2" t="n">
        <v>390000</v>
      </c>
      <c r="E6" s="2" t="s">
        <v>13</v>
      </c>
      <c r="F6" s="2" t="s">
        <v>27</v>
      </c>
      <c r="G6" s="2" t="s">
        <v>41</v>
      </c>
      <c r="H6" s="2"/>
      <c r="I6" s="2" t="s">
        <v>17</v>
      </c>
      <c r="J6" s="2" t="s">
        <v>18</v>
      </c>
    </row>
    <row r="7" customFormat="false" ht="15" hidden="false" customHeight="false" outlineLevel="0" collapsed="false">
      <c r="A7" s="3" t="s">
        <v>42</v>
      </c>
      <c r="B7" s="3" t="s">
        <v>33</v>
      </c>
      <c r="C7" s="3" t="s">
        <v>34</v>
      </c>
      <c r="D7" s="3" t="n">
        <v>275000</v>
      </c>
      <c r="E7" s="3" t="s">
        <v>13</v>
      </c>
      <c r="F7" s="3" t="s">
        <v>21</v>
      </c>
      <c r="G7" s="3" t="s">
        <v>43</v>
      </c>
      <c r="H7" s="3"/>
      <c r="I7" s="3" t="s">
        <v>44</v>
      </c>
      <c r="J7" s="3" t="s">
        <v>45</v>
      </c>
    </row>
    <row r="8" customFormat="false" ht="15" hidden="false" customHeight="false" outlineLevel="0" collapsed="false">
      <c r="A8" s="2" t="s">
        <v>46</v>
      </c>
      <c r="B8" s="2" t="s">
        <v>33</v>
      </c>
      <c r="C8" s="2" t="s">
        <v>47</v>
      </c>
      <c r="D8" s="2" t="n">
        <v>450000</v>
      </c>
      <c r="E8" s="2" t="s">
        <v>13</v>
      </c>
      <c r="F8" s="2" t="s">
        <v>48</v>
      </c>
      <c r="G8" s="2" t="s">
        <v>49</v>
      </c>
      <c r="H8" s="2" t="s">
        <v>29</v>
      </c>
      <c r="I8" s="2" t="s">
        <v>50</v>
      </c>
      <c r="J8" s="2" t="s">
        <v>24</v>
      </c>
    </row>
    <row r="9" customFormat="false" ht="15" hidden="false" customHeight="false" outlineLevel="0" collapsed="false">
      <c r="A9" s="3" t="s">
        <v>51</v>
      </c>
      <c r="B9" s="3" t="s">
        <v>52</v>
      </c>
      <c r="C9" s="3" t="s">
        <v>26</v>
      </c>
      <c r="D9" s="3" t="n">
        <v>340000</v>
      </c>
      <c r="E9" s="3" t="s">
        <v>13</v>
      </c>
      <c r="F9" s="3" t="s">
        <v>21</v>
      </c>
      <c r="G9" s="3" t="s">
        <v>53</v>
      </c>
      <c r="H9" s="3"/>
      <c r="I9" s="3" t="s">
        <v>54</v>
      </c>
      <c r="J9" s="3" t="s">
        <v>18</v>
      </c>
    </row>
    <row r="10" customFormat="false" ht="15" hidden="false" customHeight="false" outlineLevel="0" collapsed="false">
      <c r="A10" s="2" t="s">
        <v>55</v>
      </c>
      <c r="B10" s="2" t="s">
        <v>52</v>
      </c>
      <c r="C10" s="2" t="s">
        <v>40</v>
      </c>
      <c r="D10" s="2" t="n">
        <v>125000</v>
      </c>
      <c r="E10" s="2" t="s">
        <v>13</v>
      </c>
      <c r="F10" s="2" t="s">
        <v>14</v>
      </c>
      <c r="G10" s="2" t="s">
        <v>56</v>
      </c>
      <c r="H10" s="2" t="s">
        <v>16</v>
      </c>
      <c r="I10" s="2" t="s">
        <v>23</v>
      </c>
      <c r="J10" s="2" t="s">
        <v>45</v>
      </c>
    </row>
    <row r="11" customFormat="false" ht="15" hidden="false" customHeight="false" outlineLevel="0" collapsed="false">
      <c r="A11" s="3" t="s">
        <v>57</v>
      </c>
      <c r="B11" s="3" t="s">
        <v>52</v>
      </c>
      <c r="C11" s="3" t="s">
        <v>58</v>
      </c>
      <c r="D11" s="3" t="n">
        <v>610000</v>
      </c>
      <c r="E11" s="3" t="s">
        <v>13</v>
      </c>
      <c r="F11" s="3" t="s">
        <v>14</v>
      </c>
      <c r="G11" s="3" t="s">
        <v>59</v>
      </c>
      <c r="H11" s="3"/>
      <c r="I11" s="3" t="s">
        <v>30</v>
      </c>
      <c r="J11" s="3" t="s">
        <v>24</v>
      </c>
    </row>
    <row r="12" customFormat="false" ht="15" hidden="false" customHeight="false" outlineLevel="0" collapsed="false">
      <c r="A12" s="2" t="s">
        <v>60</v>
      </c>
      <c r="B12" s="2" t="s">
        <v>52</v>
      </c>
      <c r="C12" s="2" t="s">
        <v>47</v>
      </c>
      <c r="D12" s="2" t="n">
        <v>195000</v>
      </c>
      <c r="E12" s="2" t="s">
        <v>13</v>
      </c>
      <c r="F12" s="2" t="s">
        <v>61</v>
      </c>
      <c r="G12" s="2"/>
      <c r="H12" s="2"/>
      <c r="I12" s="2" t="s">
        <v>62</v>
      </c>
      <c r="J12" s="2" t="s">
        <v>18</v>
      </c>
    </row>
    <row r="13" customFormat="false" ht="15" hidden="false" customHeight="false" outlineLevel="0" collapsed="false">
      <c r="A13" s="3" t="s">
        <v>63</v>
      </c>
      <c r="B13" s="3" t="s">
        <v>64</v>
      </c>
      <c r="C13" s="3" t="s">
        <v>34</v>
      </c>
      <c r="D13" s="3" t="n">
        <v>250000</v>
      </c>
      <c r="E13" s="3" t="s">
        <v>13</v>
      </c>
      <c r="F13" s="3" t="s">
        <v>65</v>
      </c>
      <c r="G13" s="3" t="s">
        <v>66</v>
      </c>
      <c r="H13" s="3" t="s">
        <v>29</v>
      </c>
      <c r="I13" s="3" t="s">
        <v>67</v>
      </c>
      <c r="J13" s="3" t="s">
        <v>24</v>
      </c>
    </row>
    <row r="14" customFormat="false" ht="15" hidden="false" customHeight="false" outlineLevel="0" collapsed="false">
      <c r="A14" s="2" t="s">
        <v>68</v>
      </c>
      <c r="B14" s="2" t="s">
        <v>64</v>
      </c>
      <c r="C14" s="2" t="s">
        <v>12</v>
      </c>
      <c r="D14" s="2" t="n">
        <v>310000</v>
      </c>
      <c r="E14" s="2" t="s">
        <v>13</v>
      </c>
      <c r="F14" s="2" t="s">
        <v>65</v>
      </c>
      <c r="G14" s="2" t="s">
        <v>69</v>
      </c>
      <c r="H14" s="2" t="s">
        <v>16</v>
      </c>
      <c r="I14" s="2" t="s">
        <v>70</v>
      </c>
      <c r="J14" s="2" t="s">
        <v>18</v>
      </c>
    </row>
    <row r="15" customFormat="false" ht="15" hidden="false" customHeight="false" outlineLevel="0" collapsed="false">
      <c r="A15" s="3" t="s">
        <v>71</v>
      </c>
      <c r="B15" s="3" t="s">
        <v>64</v>
      </c>
      <c r="C15" s="3" t="s">
        <v>34</v>
      </c>
      <c r="D15" s="3" t="n">
        <v>470000</v>
      </c>
      <c r="E15" s="3" t="s">
        <v>13</v>
      </c>
      <c r="F15" s="3" t="s">
        <v>65</v>
      </c>
      <c r="G15" s="3" t="s">
        <v>72</v>
      </c>
      <c r="H15" s="3" t="s">
        <v>16</v>
      </c>
      <c r="I15" s="3" t="s">
        <v>17</v>
      </c>
      <c r="J15" s="3" t="s">
        <v>31</v>
      </c>
    </row>
    <row r="16" customFormat="false" ht="15" hidden="false" customHeight="false" outlineLevel="0" collapsed="false">
      <c r="A16" s="2" t="s">
        <v>73</v>
      </c>
      <c r="B16" s="2" t="s">
        <v>64</v>
      </c>
      <c r="C16" s="2" t="s">
        <v>40</v>
      </c>
      <c r="D16" s="2" t="n">
        <v>130000</v>
      </c>
      <c r="E16" s="2" t="s">
        <v>13</v>
      </c>
      <c r="F16" s="2" t="s">
        <v>14</v>
      </c>
      <c r="G16" s="2" t="s">
        <v>74</v>
      </c>
      <c r="H16" s="2"/>
      <c r="I16" s="2" t="s">
        <v>23</v>
      </c>
      <c r="J16" s="2" t="s">
        <v>24</v>
      </c>
    </row>
    <row r="17" customFormat="false" ht="15" hidden="false" customHeight="false" outlineLevel="0" collapsed="false">
      <c r="A17" s="3" t="s">
        <v>75</v>
      </c>
      <c r="B17" s="3" t="s">
        <v>76</v>
      </c>
      <c r="C17" s="3" t="s">
        <v>34</v>
      </c>
      <c r="D17" s="3" t="n">
        <v>220000</v>
      </c>
      <c r="E17" s="3" t="s">
        <v>13</v>
      </c>
      <c r="F17" s="3" t="s">
        <v>77</v>
      </c>
      <c r="G17" s="3" t="s">
        <v>78</v>
      </c>
      <c r="H17" s="3"/>
      <c r="I17" s="3" t="s">
        <v>62</v>
      </c>
      <c r="J17" s="3" t="s">
        <v>24</v>
      </c>
    </row>
    <row r="18" customFormat="false" ht="15" hidden="false" customHeight="false" outlineLevel="0" collapsed="false">
      <c r="A18" s="2" t="s">
        <v>79</v>
      </c>
      <c r="B18" s="2" t="s">
        <v>76</v>
      </c>
      <c r="C18" s="2" t="s">
        <v>34</v>
      </c>
      <c r="D18" s="2" t="n">
        <v>180000</v>
      </c>
      <c r="E18" s="2" t="s">
        <v>13</v>
      </c>
      <c r="F18" s="2" t="s">
        <v>80</v>
      </c>
      <c r="G18" s="2" t="s">
        <v>81</v>
      </c>
      <c r="H18" s="2" t="s">
        <v>37</v>
      </c>
      <c r="I18" s="2" t="s">
        <v>62</v>
      </c>
      <c r="J18" s="2" t="s">
        <v>24</v>
      </c>
    </row>
    <row r="19" customFormat="false" ht="15" hidden="false" customHeight="false" outlineLevel="0" collapsed="false">
      <c r="A19" s="3" t="s">
        <v>82</v>
      </c>
      <c r="B19" s="3" t="s">
        <v>76</v>
      </c>
      <c r="C19" s="3" t="s">
        <v>26</v>
      </c>
      <c r="D19" s="3" t="n">
        <v>145000</v>
      </c>
      <c r="E19" s="3" t="s">
        <v>13</v>
      </c>
      <c r="F19" s="3" t="s">
        <v>83</v>
      </c>
      <c r="G19" s="3" t="s">
        <v>84</v>
      </c>
      <c r="H19" s="3" t="s">
        <v>29</v>
      </c>
      <c r="I19" s="3" t="s">
        <v>62</v>
      </c>
      <c r="J19" s="3" t="s">
        <v>18</v>
      </c>
    </row>
    <row r="20" customFormat="false" ht="15" hidden="false" customHeight="false" outlineLevel="0" collapsed="false">
      <c r="A20" s="2" t="s">
        <v>85</v>
      </c>
      <c r="B20" s="2" t="s">
        <v>76</v>
      </c>
      <c r="C20" s="2" t="s">
        <v>47</v>
      </c>
      <c r="D20" s="2" t="n">
        <v>260000</v>
      </c>
      <c r="E20" s="2" t="s">
        <v>13</v>
      </c>
      <c r="F20" s="2" t="s">
        <v>80</v>
      </c>
      <c r="G20" s="2" t="s">
        <v>86</v>
      </c>
      <c r="H20" s="2" t="s">
        <v>37</v>
      </c>
      <c r="I20" s="2" t="s">
        <v>62</v>
      </c>
      <c r="J20" s="2" t="s">
        <v>45</v>
      </c>
    </row>
    <row r="21" customFormat="false" ht="15" hidden="false" customHeight="false" outlineLevel="0" collapsed="false">
      <c r="A21" s="3" t="s">
        <v>87</v>
      </c>
      <c r="B21" s="3" t="s">
        <v>76</v>
      </c>
      <c r="C21" s="3" t="s">
        <v>40</v>
      </c>
      <c r="D21" s="3" t="n">
        <v>520000</v>
      </c>
      <c r="E21" s="3" t="s">
        <v>13</v>
      </c>
      <c r="F21" s="3" t="s">
        <v>21</v>
      </c>
      <c r="G21" s="3" t="s">
        <v>88</v>
      </c>
      <c r="H21" s="3" t="s">
        <v>16</v>
      </c>
      <c r="I21" s="3" t="s">
        <v>44</v>
      </c>
      <c r="J21" s="3" t="s">
        <v>18</v>
      </c>
    </row>
    <row r="22" customFormat="false" ht="15" hidden="false" customHeight="false" outlineLevel="0" collapsed="false">
      <c r="A22" s="2" t="s">
        <v>89</v>
      </c>
      <c r="B22" s="2" t="s">
        <v>90</v>
      </c>
      <c r="C22" s="2" t="s">
        <v>91</v>
      </c>
      <c r="D22" s="2" t="n">
        <v>330000</v>
      </c>
      <c r="E22" s="2" t="s">
        <v>13</v>
      </c>
      <c r="F22" s="2" t="s">
        <v>65</v>
      </c>
      <c r="G22" s="2" t="s">
        <v>92</v>
      </c>
      <c r="H22" s="2"/>
      <c r="I22" s="2" t="s">
        <v>50</v>
      </c>
      <c r="J22" s="2" t="s">
        <v>24</v>
      </c>
    </row>
    <row r="23" customFormat="false" ht="15" hidden="false" customHeight="false" outlineLevel="0" collapsed="false">
      <c r="A23" s="3" t="s">
        <v>93</v>
      </c>
      <c r="B23" s="3" t="s">
        <v>90</v>
      </c>
      <c r="C23" s="3" t="s">
        <v>20</v>
      </c>
      <c r="D23" s="3" t="n">
        <v>410000</v>
      </c>
      <c r="E23" s="3" t="s">
        <v>13</v>
      </c>
      <c r="F23" s="3" t="s">
        <v>65</v>
      </c>
      <c r="G23" s="3" t="s">
        <v>94</v>
      </c>
      <c r="H23" s="3" t="s">
        <v>16</v>
      </c>
      <c r="I23" s="3" t="s">
        <v>54</v>
      </c>
      <c r="J23" s="3" t="s">
        <v>18</v>
      </c>
    </row>
    <row r="24" customFormat="false" ht="15" hidden="false" customHeight="false" outlineLevel="0" collapsed="false">
      <c r="A24" s="2" t="s">
        <v>95</v>
      </c>
      <c r="B24" s="2" t="s">
        <v>11</v>
      </c>
      <c r="C24" s="2" t="s">
        <v>96</v>
      </c>
      <c r="D24" s="2" t="n">
        <v>5200</v>
      </c>
      <c r="E24" s="2" t="s">
        <v>97</v>
      </c>
      <c r="F24" s="2" t="s">
        <v>21</v>
      </c>
      <c r="G24" s="2" t="s">
        <v>98</v>
      </c>
      <c r="H24" s="2" t="s">
        <v>99</v>
      </c>
      <c r="I24" s="2" t="s">
        <v>30</v>
      </c>
      <c r="J24" s="2" t="s">
        <v>24</v>
      </c>
    </row>
    <row r="25" customFormat="false" ht="15" hidden="false" customHeight="false" outlineLevel="0" collapsed="false">
      <c r="A25" s="3" t="s">
        <v>100</v>
      </c>
      <c r="B25" s="3" t="s">
        <v>33</v>
      </c>
      <c r="C25" s="3" t="s">
        <v>101</v>
      </c>
      <c r="D25" s="3" t="n">
        <v>6100</v>
      </c>
      <c r="E25" s="3" t="s">
        <v>97</v>
      </c>
      <c r="F25" s="3" t="s">
        <v>83</v>
      </c>
      <c r="G25" s="3" t="s">
        <v>102</v>
      </c>
      <c r="H25" s="3" t="s">
        <v>103</v>
      </c>
      <c r="I25" s="3" t="s">
        <v>38</v>
      </c>
      <c r="J25" s="3" t="s">
        <v>24</v>
      </c>
    </row>
    <row r="26" customFormat="false" ht="15" hidden="false" customHeight="false" outlineLevel="0" collapsed="false">
      <c r="A26" s="2" t="s">
        <v>104</v>
      </c>
      <c r="B26" s="2" t="s">
        <v>52</v>
      </c>
      <c r="C26" s="2" t="s">
        <v>96</v>
      </c>
      <c r="D26" s="2" t="n">
        <v>2800</v>
      </c>
      <c r="E26" s="2" t="s">
        <v>97</v>
      </c>
      <c r="F26" s="2" t="s">
        <v>65</v>
      </c>
      <c r="G26" s="2" t="s">
        <v>105</v>
      </c>
      <c r="H26" s="2" t="s">
        <v>106</v>
      </c>
      <c r="I26" s="2" t="s">
        <v>44</v>
      </c>
      <c r="J26" s="2" t="s">
        <v>45</v>
      </c>
    </row>
    <row r="27" customFormat="false" ht="15" hidden="false" customHeight="false" outlineLevel="0" collapsed="false">
      <c r="A27" s="3" t="s">
        <v>107</v>
      </c>
      <c r="B27" s="3" t="s">
        <v>76</v>
      </c>
      <c r="C27" s="3" t="s">
        <v>101</v>
      </c>
      <c r="D27" s="3" t="n">
        <v>3300</v>
      </c>
      <c r="E27" s="3" t="s">
        <v>97</v>
      </c>
      <c r="F27" s="3" t="s">
        <v>80</v>
      </c>
      <c r="G27" s="3" t="s">
        <v>108</v>
      </c>
      <c r="H27" s="3" t="s">
        <v>99</v>
      </c>
      <c r="I27" s="3" t="s">
        <v>50</v>
      </c>
      <c r="J27" s="3" t="s">
        <v>31</v>
      </c>
    </row>
    <row r="28" customFormat="false" ht="15" hidden="false" customHeight="false" outlineLevel="0" collapsed="false">
      <c r="A28" s="2" t="s">
        <v>109</v>
      </c>
      <c r="B28" s="2" t="s">
        <v>11</v>
      </c>
      <c r="C28" s="2" t="s">
        <v>110</v>
      </c>
      <c r="D28" s="2" t="n">
        <v>7200</v>
      </c>
      <c r="E28" s="2" t="s">
        <v>111</v>
      </c>
      <c r="F28" s="2" t="s">
        <v>65</v>
      </c>
      <c r="G28" s="2" t="s">
        <v>112</v>
      </c>
      <c r="H28" s="2" t="s">
        <v>113</v>
      </c>
      <c r="I28" s="2" t="s">
        <v>54</v>
      </c>
      <c r="J28" s="2" t="s">
        <v>24</v>
      </c>
    </row>
    <row r="29" customFormat="false" ht="15" hidden="false" customHeight="false" outlineLevel="0" collapsed="false">
      <c r="A29" s="3" t="s">
        <v>114</v>
      </c>
      <c r="B29" s="3" t="s">
        <v>33</v>
      </c>
      <c r="C29" s="3" t="s">
        <v>115</v>
      </c>
      <c r="D29" s="3" t="n">
        <v>3100</v>
      </c>
      <c r="E29" s="3" t="s">
        <v>111</v>
      </c>
      <c r="F29" s="3" t="s">
        <v>27</v>
      </c>
      <c r="G29" s="3" t="s">
        <v>116</v>
      </c>
      <c r="H29" s="3" t="s">
        <v>117</v>
      </c>
      <c r="I29" s="3" t="s">
        <v>62</v>
      </c>
      <c r="J29" s="3" t="s">
        <v>24</v>
      </c>
    </row>
    <row r="30" customFormat="false" ht="15" hidden="false" customHeight="false" outlineLevel="0" collapsed="false">
      <c r="A30" s="2" t="s">
        <v>118</v>
      </c>
      <c r="B30" s="2" t="s">
        <v>64</v>
      </c>
      <c r="C30" s="2" t="s">
        <v>119</v>
      </c>
      <c r="D30" s="2" t="n">
        <v>2500</v>
      </c>
      <c r="E30" s="2" t="s">
        <v>111</v>
      </c>
      <c r="F30" s="2" t="s">
        <v>83</v>
      </c>
      <c r="G30" s="2" t="s">
        <v>120</v>
      </c>
      <c r="H30" s="2" t="s">
        <v>117</v>
      </c>
      <c r="I30" s="2" t="s">
        <v>67</v>
      </c>
      <c r="J30" s="2" t="s">
        <v>45</v>
      </c>
    </row>
    <row r="31" customFormat="false" ht="15" hidden="false" customHeight="false" outlineLevel="0" collapsed="false">
      <c r="A31" s="3" t="s">
        <v>121</v>
      </c>
      <c r="B31" s="3" t="s">
        <v>90</v>
      </c>
      <c r="C31" s="3" t="s">
        <v>110</v>
      </c>
      <c r="D31" s="3" t="n">
        <v>1800</v>
      </c>
      <c r="E31" s="3" t="s">
        <v>111</v>
      </c>
      <c r="F31" s="3" t="s">
        <v>80</v>
      </c>
      <c r="G31" s="3" t="s">
        <v>122</v>
      </c>
      <c r="H31" s="3" t="s">
        <v>117</v>
      </c>
      <c r="I31" s="3" t="s">
        <v>70</v>
      </c>
      <c r="J31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</cols>
  <sheetData>
    <row r="1" customFormat="false" ht="27.75" hidden="false" customHeight="true" outlineLevel="0" collapsed="false">
      <c r="A1" s="1" t="s">
        <v>123</v>
      </c>
      <c r="B1" s="1" t="s">
        <v>4</v>
      </c>
      <c r="C1" s="1" t="s">
        <v>124</v>
      </c>
    </row>
    <row r="2" customFormat="false" ht="15" hidden="false" customHeight="false" outlineLevel="0" collapsed="false">
      <c r="A2" s="2" t="s">
        <v>11</v>
      </c>
      <c r="B2" s="2" t="s">
        <v>13</v>
      </c>
      <c r="C2" s="2" t="n">
        <v>0.0119</v>
      </c>
    </row>
    <row r="3" customFormat="false" ht="15" hidden="false" customHeight="false" outlineLevel="0" collapsed="false">
      <c r="A3" s="3" t="s">
        <v>11</v>
      </c>
      <c r="B3" s="3" t="s">
        <v>97</v>
      </c>
      <c r="C3" s="3" t="n">
        <v>1.08</v>
      </c>
    </row>
    <row r="4" customFormat="false" ht="15" hidden="false" customHeight="false" outlineLevel="0" collapsed="false">
      <c r="A4" s="2" t="s">
        <v>11</v>
      </c>
      <c r="B4" s="2" t="s">
        <v>111</v>
      </c>
      <c r="C4" s="2" t="n">
        <v>1</v>
      </c>
    </row>
    <row r="5" customFormat="false" ht="15" hidden="false" customHeight="false" outlineLevel="0" collapsed="false">
      <c r="A5" s="3" t="s">
        <v>33</v>
      </c>
      <c r="B5" s="3" t="s">
        <v>13</v>
      </c>
      <c r="C5" s="3" t="n">
        <v>0.012</v>
      </c>
    </row>
    <row r="6" customFormat="false" ht="15" hidden="false" customHeight="false" outlineLevel="0" collapsed="false">
      <c r="A6" s="2" t="s">
        <v>33</v>
      </c>
      <c r="B6" s="2" t="s">
        <v>97</v>
      </c>
      <c r="C6" s="2" t="n">
        <v>1.09</v>
      </c>
    </row>
    <row r="7" customFormat="false" ht="15" hidden="false" customHeight="false" outlineLevel="0" collapsed="false">
      <c r="A7" s="3" t="s">
        <v>33</v>
      </c>
      <c r="B7" s="3" t="s">
        <v>111</v>
      </c>
      <c r="C7" s="3" t="n">
        <v>1</v>
      </c>
    </row>
    <row r="8" customFormat="false" ht="15" hidden="false" customHeight="false" outlineLevel="0" collapsed="false">
      <c r="A8" s="2" t="s">
        <v>52</v>
      </c>
      <c r="B8" s="2" t="s">
        <v>13</v>
      </c>
      <c r="C8" s="2" t="n">
        <v>0.0121</v>
      </c>
    </row>
    <row r="9" customFormat="false" ht="15" hidden="false" customHeight="false" outlineLevel="0" collapsed="false">
      <c r="A9" s="3" t="s">
        <v>52</v>
      </c>
      <c r="B9" s="3" t="s">
        <v>97</v>
      </c>
      <c r="C9" s="3" t="n">
        <v>1.08</v>
      </c>
    </row>
    <row r="10" customFormat="false" ht="15" hidden="false" customHeight="false" outlineLevel="0" collapsed="false">
      <c r="A10" s="2" t="s">
        <v>52</v>
      </c>
      <c r="B10" s="2" t="s">
        <v>111</v>
      </c>
      <c r="C10" s="2" t="n">
        <v>1</v>
      </c>
    </row>
    <row r="11" customFormat="false" ht="15" hidden="false" customHeight="false" outlineLevel="0" collapsed="false">
      <c r="A11" s="3" t="s">
        <v>64</v>
      </c>
      <c r="B11" s="3" t="s">
        <v>13</v>
      </c>
      <c r="C11" s="3" t="n">
        <v>0.012</v>
      </c>
    </row>
    <row r="12" customFormat="false" ht="15" hidden="false" customHeight="false" outlineLevel="0" collapsed="false">
      <c r="A12" s="2" t="s">
        <v>64</v>
      </c>
      <c r="B12" s="2" t="s">
        <v>97</v>
      </c>
      <c r="C12" s="2" t="n">
        <v>1.07</v>
      </c>
    </row>
    <row r="13" customFormat="false" ht="15" hidden="false" customHeight="false" outlineLevel="0" collapsed="false">
      <c r="A13" s="3" t="s">
        <v>64</v>
      </c>
      <c r="B13" s="3" t="s">
        <v>111</v>
      </c>
      <c r="C13" s="3" t="n">
        <v>1</v>
      </c>
    </row>
    <row r="14" customFormat="false" ht="15" hidden="false" customHeight="false" outlineLevel="0" collapsed="false">
      <c r="A14" s="2" t="s">
        <v>76</v>
      </c>
      <c r="B14" s="2" t="s">
        <v>13</v>
      </c>
      <c r="C14" s="2" t="n">
        <v>0.0118</v>
      </c>
    </row>
    <row r="15" customFormat="false" ht="15" hidden="false" customHeight="false" outlineLevel="0" collapsed="false">
      <c r="A15" s="3" t="s">
        <v>76</v>
      </c>
      <c r="B15" s="3" t="s">
        <v>97</v>
      </c>
      <c r="C15" s="3" t="n">
        <v>1.09</v>
      </c>
    </row>
    <row r="16" customFormat="false" ht="15" hidden="false" customHeight="false" outlineLevel="0" collapsed="false">
      <c r="A16" s="2" t="s">
        <v>76</v>
      </c>
      <c r="B16" s="2" t="s">
        <v>111</v>
      </c>
      <c r="C16" s="2" t="n">
        <v>1</v>
      </c>
    </row>
    <row r="17" customFormat="false" ht="15" hidden="false" customHeight="false" outlineLevel="0" collapsed="false">
      <c r="A17" s="3" t="s">
        <v>90</v>
      </c>
      <c r="B17" s="3" t="s">
        <v>13</v>
      </c>
      <c r="C17" s="3" t="n">
        <v>0.0119</v>
      </c>
    </row>
    <row r="18" customFormat="false" ht="15" hidden="false" customHeight="false" outlineLevel="0" collapsed="false">
      <c r="A18" s="2" t="s">
        <v>90</v>
      </c>
      <c r="B18" s="2" t="s">
        <v>97</v>
      </c>
      <c r="C18" s="2" t="n">
        <v>1.08</v>
      </c>
    </row>
    <row r="19" customFormat="false" ht="15" hidden="false" customHeight="false" outlineLevel="0" collapsed="false">
      <c r="A19" s="3" t="s">
        <v>90</v>
      </c>
      <c r="B19" s="3" t="s">
        <v>111</v>
      </c>
      <c r="C19" s="3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6"/>
  </cols>
  <sheetData>
    <row r="1" customFormat="false" ht="27.75" hidden="false" customHeight="true" outlineLevel="0" collapsed="false">
      <c r="A1" s="1" t="s">
        <v>125</v>
      </c>
      <c r="B1" s="1" t="s">
        <v>2</v>
      </c>
      <c r="C1" s="1" t="s">
        <v>126</v>
      </c>
      <c r="D1" s="1" t="s">
        <v>127</v>
      </c>
      <c r="E1" s="1" t="s">
        <v>128</v>
      </c>
    </row>
    <row r="2" customFormat="false" ht="15" hidden="false" customHeight="false" outlineLevel="0" collapsed="false">
      <c r="A2" s="2" t="s">
        <v>129</v>
      </c>
      <c r="B2" s="2" t="s">
        <v>40</v>
      </c>
      <c r="C2" s="2" t="s">
        <v>130</v>
      </c>
      <c r="D2" s="2" t="s">
        <v>131</v>
      </c>
      <c r="E2" s="2" t="s">
        <v>16</v>
      </c>
    </row>
    <row r="3" customFormat="false" ht="15" hidden="false" customHeight="false" outlineLevel="0" collapsed="false">
      <c r="A3" s="3" t="s">
        <v>132</v>
      </c>
      <c r="B3" s="3" t="s">
        <v>58</v>
      </c>
      <c r="C3" s="3" t="s">
        <v>133</v>
      </c>
      <c r="D3" s="3" t="s">
        <v>134</v>
      </c>
      <c r="E3" s="3" t="s">
        <v>16</v>
      </c>
    </row>
    <row r="4" customFormat="false" ht="15" hidden="false" customHeight="false" outlineLevel="0" collapsed="false">
      <c r="A4" s="2" t="s">
        <v>135</v>
      </c>
      <c r="B4" s="2" t="s">
        <v>96</v>
      </c>
      <c r="C4" s="2" t="s">
        <v>136</v>
      </c>
      <c r="D4" s="2" t="s">
        <v>137</v>
      </c>
      <c r="E4" s="2" t="s">
        <v>103</v>
      </c>
    </row>
    <row r="5" customFormat="false" ht="15" hidden="false" customHeight="false" outlineLevel="0" collapsed="false">
      <c r="A5" s="3" t="s">
        <v>138</v>
      </c>
      <c r="B5" s="3" t="s">
        <v>115</v>
      </c>
      <c r="C5" s="3" t="s">
        <v>139</v>
      </c>
      <c r="D5" s="3" t="s">
        <v>140</v>
      </c>
      <c r="E5" s="3" t="s">
        <v>117</v>
      </c>
    </row>
    <row r="6" customFormat="false" ht="15" hidden="false" customHeight="false" outlineLevel="0" collapsed="false">
      <c r="A6" s="2" t="s">
        <v>141</v>
      </c>
      <c r="B6" s="2" t="s">
        <v>101</v>
      </c>
      <c r="C6" s="2" t="s">
        <v>142</v>
      </c>
      <c r="D6" s="2" t="s">
        <v>143</v>
      </c>
      <c r="E6" s="2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125</v>
      </c>
      <c r="D1" s="1" t="s">
        <v>2</v>
      </c>
      <c r="E1" s="1" t="s">
        <v>127</v>
      </c>
      <c r="F1" s="1" t="s">
        <v>126</v>
      </c>
      <c r="G1" s="1" t="s">
        <v>3</v>
      </c>
      <c r="H1" s="1" t="s">
        <v>4</v>
      </c>
      <c r="I1" s="1" t="s">
        <v>144</v>
      </c>
      <c r="J1" s="1" t="s">
        <v>7</v>
      </c>
      <c r="K1" s="1" t="s">
        <v>5</v>
      </c>
      <c r="L1" s="1" t="s">
        <v>6</v>
      </c>
      <c r="M1" s="1" t="s">
        <v>8</v>
      </c>
      <c r="N1" s="1" t="s">
        <v>9</v>
      </c>
      <c r="O1" s="1" t="s">
        <v>145</v>
      </c>
      <c r="P1" s="1" t="s">
        <v>146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129</v>
      </c>
      <c r="D2" s="2" t="s">
        <v>40</v>
      </c>
      <c r="E2" s="2" t="s">
        <v>131</v>
      </c>
      <c r="F2" s="2" t="s">
        <v>130</v>
      </c>
      <c r="G2" s="2" t="n">
        <v>420000</v>
      </c>
      <c r="H2" s="2" t="s">
        <v>13</v>
      </c>
      <c r="I2" s="4" t="n">
        <v>4998</v>
      </c>
      <c r="J2" s="2" t="s">
        <v>16</v>
      </c>
      <c r="K2" s="2" t="s">
        <v>14</v>
      </c>
      <c r="L2" s="5" t="n">
        <v>62</v>
      </c>
      <c r="M2" s="2" t="s">
        <v>17</v>
      </c>
      <c r="N2" s="2" t="s">
        <v>18</v>
      </c>
      <c r="O2" s="6" t="n">
        <f aca="false">IF(OR(AND(J2="APAC",I2&gt;5000),AND(J2="EU",I2&gt;6000),AND(J2="US",I2&gt;7000)),1,0)</f>
        <v>0</v>
      </c>
      <c r="P2" s="6" t="n">
        <f aca="false">IF(OR(L2&gt;=70,K2="chargeback"),1,0)</f>
        <v>0</v>
      </c>
    </row>
    <row r="3" customFormat="false" ht="15" hidden="false" customHeight="false" outlineLevel="0" collapsed="false">
      <c r="A3" s="3" t="s">
        <v>19</v>
      </c>
      <c r="B3" s="3" t="s">
        <v>11</v>
      </c>
      <c r="C3" s="3" t="s">
        <v>129</v>
      </c>
      <c r="D3" s="3" t="s">
        <v>40</v>
      </c>
      <c r="E3" s="3" t="s">
        <v>131</v>
      </c>
      <c r="F3" s="3" t="s">
        <v>130</v>
      </c>
      <c r="G3" s="3" t="n">
        <v>210000</v>
      </c>
      <c r="H3" s="3" t="s">
        <v>13</v>
      </c>
      <c r="I3" s="7" t="n">
        <v>2499</v>
      </c>
      <c r="J3" s="3" t="s">
        <v>16</v>
      </c>
      <c r="K3" s="3" t="s">
        <v>14</v>
      </c>
      <c r="L3" s="8" t="n">
        <v>55</v>
      </c>
      <c r="M3" s="3" t="s">
        <v>23</v>
      </c>
      <c r="N3" s="3" t="s">
        <v>24</v>
      </c>
      <c r="O3" s="6" t="n">
        <f aca="false">IF(OR(AND(J3="APAC",I3&gt;5000),AND(J3="EU",I3&gt;6000),AND(J3="US",I3&gt;7000)),1,0)</f>
        <v>0</v>
      </c>
      <c r="P3" s="6" t="n">
        <f aca="false">IF(OR(L3&gt;=70,K3="chargeback"),1,0)</f>
        <v>0</v>
      </c>
    </row>
    <row r="4" customFormat="false" ht="15" hidden="false" customHeight="false" outlineLevel="0" collapsed="false">
      <c r="A4" s="2" t="s">
        <v>25</v>
      </c>
      <c r="B4" s="2" t="s">
        <v>11</v>
      </c>
      <c r="C4" s="2" t="s">
        <v>132</v>
      </c>
      <c r="D4" s="2" t="s">
        <v>58</v>
      </c>
      <c r="E4" s="2" t="s">
        <v>134</v>
      </c>
      <c r="F4" s="2" t="s">
        <v>133</v>
      </c>
      <c r="G4" s="2" t="n">
        <v>510000</v>
      </c>
      <c r="H4" s="2" t="s">
        <v>13</v>
      </c>
      <c r="I4" s="4" t="n">
        <v>6069</v>
      </c>
      <c r="J4" s="2" t="s">
        <v>16</v>
      </c>
      <c r="K4" s="2" t="s">
        <v>14</v>
      </c>
      <c r="L4" s="5" t="n">
        <v>71</v>
      </c>
      <c r="M4" s="2" t="s">
        <v>30</v>
      </c>
      <c r="N4" s="2" t="s">
        <v>31</v>
      </c>
      <c r="O4" s="6" t="n">
        <f aca="false">IF(OR(AND(J4="APAC",I4&gt;5000),AND(J4="EU",I4&gt;6000),AND(J4="US",I4&gt;7000)),1,0)</f>
        <v>1</v>
      </c>
      <c r="P4" s="6" t="n">
        <f aca="false">IF(OR(L4&gt;=70,K4="chargeback"),1,0)</f>
        <v>1</v>
      </c>
    </row>
    <row r="5" customFormat="false" ht="15" hidden="false" customHeight="false" outlineLevel="0" collapsed="false">
      <c r="A5" s="3" t="s">
        <v>32</v>
      </c>
      <c r="B5" s="3" t="s">
        <v>33</v>
      </c>
      <c r="C5" s="3" t="s">
        <v>132</v>
      </c>
      <c r="D5" s="3" t="s">
        <v>58</v>
      </c>
      <c r="E5" s="3" t="s">
        <v>134</v>
      </c>
      <c r="F5" s="3" t="s">
        <v>133</v>
      </c>
      <c r="G5" s="3" t="n">
        <v>160000</v>
      </c>
      <c r="H5" s="3" t="s">
        <v>13</v>
      </c>
      <c r="I5" s="7" t="n">
        <v>1920</v>
      </c>
      <c r="J5" s="3" t="s">
        <v>16</v>
      </c>
      <c r="K5" s="3" t="s">
        <v>147</v>
      </c>
      <c r="L5" s="8" t="n">
        <v>68</v>
      </c>
      <c r="M5" s="3" t="s">
        <v>38</v>
      </c>
      <c r="N5" s="3" t="s">
        <v>24</v>
      </c>
      <c r="O5" s="6" t="n">
        <f aca="false">IF(OR(AND(J5="APAC",I5&gt;5000),AND(J5="EU",I5&gt;6000),AND(J5="US",I5&gt;7000)),1,0)</f>
        <v>0</v>
      </c>
      <c r="P5" s="6" t="n">
        <f aca="false">IF(OR(L5&gt;=70,K5="chargeback"),1,0)</f>
        <v>0</v>
      </c>
    </row>
    <row r="6" customFormat="false" ht="15" hidden="false" customHeight="false" outlineLevel="0" collapsed="false">
      <c r="A6" s="2" t="s">
        <v>39</v>
      </c>
      <c r="B6" s="2" t="s">
        <v>33</v>
      </c>
      <c r="C6" s="2" t="s">
        <v>129</v>
      </c>
      <c r="D6" s="2" t="s">
        <v>40</v>
      </c>
      <c r="E6" s="2" t="s">
        <v>131</v>
      </c>
      <c r="F6" s="2" t="s">
        <v>130</v>
      </c>
      <c r="G6" s="2" t="n">
        <v>390000</v>
      </c>
      <c r="H6" s="2" t="s">
        <v>13</v>
      </c>
      <c r="I6" s="4" t="n">
        <v>4680</v>
      </c>
      <c r="J6" s="2" t="s">
        <v>16</v>
      </c>
      <c r="K6" s="2" t="s">
        <v>14</v>
      </c>
      <c r="L6" s="5" t="n">
        <v>58</v>
      </c>
      <c r="M6" s="2" t="s">
        <v>17</v>
      </c>
      <c r="N6" s="2" t="s">
        <v>18</v>
      </c>
      <c r="O6" s="6" t="n">
        <f aca="false">IF(OR(AND(J6="APAC",I6&gt;5000),AND(J6="EU",I6&gt;6000),AND(J6="US",I6&gt;7000)),1,0)</f>
        <v>0</v>
      </c>
      <c r="P6" s="6" t="n">
        <f aca="false">IF(OR(L6&gt;=70,K6="chargeback"),1,0)</f>
        <v>0</v>
      </c>
    </row>
    <row r="7" customFormat="false" ht="15" hidden="false" customHeight="false" outlineLevel="0" collapsed="false">
      <c r="A7" s="3" t="s">
        <v>42</v>
      </c>
      <c r="B7" s="3" t="s">
        <v>33</v>
      </c>
      <c r="C7" s="3" t="s">
        <v>132</v>
      </c>
      <c r="D7" s="3" t="s">
        <v>58</v>
      </c>
      <c r="E7" s="3" t="s">
        <v>134</v>
      </c>
      <c r="F7" s="3" t="s">
        <v>133</v>
      </c>
      <c r="G7" s="3" t="n">
        <v>275000</v>
      </c>
      <c r="H7" s="3" t="s">
        <v>13</v>
      </c>
      <c r="I7" s="7" t="n">
        <v>3300</v>
      </c>
      <c r="J7" s="3" t="s">
        <v>16</v>
      </c>
      <c r="K7" s="3" t="s">
        <v>14</v>
      </c>
      <c r="L7" s="8" t="n">
        <v>64</v>
      </c>
      <c r="M7" s="3" t="s">
        <v>44</v>
      </c>
      <c r="N7" s="3" t="s">
        <v>45</v>
      </c>
      <c r="O7" s="6" t="n">
        <f aca="false">IF(OR(AND(J7="APAC",I7&gt;5000),AND(J7="EU",I7&gt;6000),AND(J7="US",I7&gt;7000)),1,0)</f>
        <v>0</v>
      </c>
      <c r="P7" s="6" t="n">
        <f aca="false">IF(OR(L7&gt;=70,K7="chargeback"),1,0)</f>
        <v>0</v>
      </c>
    </row>
    <row r="8" customFormat="false" ht="15" hidden="false" customHeight="false" outlineLevel="0" collapsed="false">
      <c r="A8" s="2" t="s">
        <v>46</v>
      </c>
      <c r="B8" s="2" t="s">
        <v>33</v>
      </c>
      <c r="C8" s="2" t="s">
        <v>129</v>
      </c>
      <c r="D8" s="2" t="s">
        <v>40</v>
      </c>
      <c r="E8" s="2" t="s">
        <v>131</v>
      </c>
      <c r="F8" s="2" t="s">
        <v>130</v>
      </c>
      <c r="G8" s="2" t="n">
        <v>450000</v>
      </c>
      <c r="H8" s="2" t="s">
        <v>13</v>
      </c>
      <c r="I8" s="4" t="n">
        <v>5400</v>
      </c>
      <c r="J8" s="2" t="s">
        <v>16</v>
      </c>
      <c r="K8" s="2" t="s">
        <v>48</v>
      </c>
      <c r="L8" s="5" t="n">
        <v>83</v>
      </c>
      <c r="M8" s="2" t="s">
        <v>50</v>
      </c>
      <c r="N8" s="2" t="s">
        <v>24</v>
      </c>
      <c r="O8" s="6" t="n">
        <f aca="false">IF(OR(AND(J8="APAC",I8&gt;5000),AND(J8="EU",I8&gt;6000),AND(J8="US",I8&gt;7000)),1,0)</f>
        <v>1</v>
      </c>
      <c r="P8" s="6" t="n">
        <f aca="false">IF(OR(L8&gt;=70,K8="chargeback"),1,0)</f>
        <v>1</v>
      </c>
    </row>
    <row r="9" customFormat="false" ht="15" hidden="false" customHeight="false" outlineLevel="0" collapsed="false">
      <c r="A9" s="3" t="s">
        <v>51</v>
      </c>
      <c r="B9" s="3" t="s">
        <v>52</v>
      </c>
      <c r="C9" s="3" t="s">
        <v>132</v>
      </c>
      <c r="D9" s="3" t="s">
        <v>58</v>
      </c>
      <c r="E9" s="3" t="s">
        <v>134</v>
      </c>
      <c r="F9" s="3" t="s">
        <v>133</v>
      </c>
      <c r="G9" s="3" t="n">
        <v>340000</v>
      </c>
      <c r="H9" s="3" t="s">
        <v>13</v>
      </c>
      <c r="I9" s="7" t="n">
        <v>4114</v>
      </c>
      <c r="J9" s="3" t="s">
        <v>16</v>
      </c>
      <c r="K9" s="3" t="s">
        <v>14</v>
      </c>
      <c r="L9" s="8" t="n">
        <v>59</v>
      </c>
      <c r="M9" s="3" t="s">
        <v>54</v>
      </c>
      <c r="N9" s="3" t="s">
        <v>18</v>
      </c>
      <c r="O9" s="6" t="n">
        <f aca="false">IF(OR(AND(J9="APAC",I9&gt;5000),AND(J9="EU",I9&gt;6000),AND(J9="US",I9&gt;7000)),1,0)</f>
        <v>0</v>
      </c>
      <c r="P9" s="6" t="n">
        <f aca="false">IF(OR(L9&gt;=70,K9="chargeback"),1,0)</f>
        <v>0</v>
      </c>
    </row>
    <row r="10" customFormat="false" ht="15" hidden="false" customHeight="false" outlineLevel="0" collapsed="false">
      <c r="A10" s="2" t="s">
        <v>55</v>
      </c>
      <c r="B10" s="2" t="s">
        <v>52</v>
      </c>
      <c r="C10" s="2" t="s">
        <v>129</v>
      </c>
      <c r="D10" s="2" t="s">
        <v>40</v>
      </c>
      <c r="E10" s="2" t="s">
        <v>131</v>
      </c>
      <c r="F10" s="2" t="s">
        <v>130</v>
      </c>
      <c r="G10" s="2" t="n">
        <v>125000</v>
      </c>
      <c r="H10" s="2" t="s">
        <v>13</v>
      </c>
      <c r="I10" s="4" t="n">
        <v>1512.5</v>
      </c>
      <c r="J10" s="2" t="s">
        <v>16</v>
      </c>
      <c r="K10" s="2" t="s">
        <v>14</v>
      </c>
      <c r="L10" s="5" t="n">
        <v>46</v>
      </c>
      <c r="M10" s="2" t="s">
        <v>23</v>
      </c>
      <c r="N10" s="2" t="s">
        <v>45</v>
      </c>
      <c r="O10" s="6" t="n">
        <f aca="false">IF(OR(AND(J10="APAC",I10&gt;5000),AND(J10="EU",I10&gt;6000),AND(J10="US",I10&gt;7000)),1,0)</f>
        <v>0</v>
      </c>
      <c r="P10" s="6" t="n">
        <f aca="false">IF(OR(L10&gt;=70,K10="chargeback"),1,0)</f>
        <v>0</v>
      </c>
    </row>
    <row r="11" customFormat="false" ht="15" hidden="false" customHeight="false" outlineLevel="0" collapsed="false">
      <c r="A11" s="3" t="s">
        <v>57</v>
      </c>
      <c r="B11" s="3" t="s">
        <v>52</v>
      </c>
      <c r="C11" s="3" t="s">
        <v>132</v>
      </c>
      <c r="D11" s="3" t="s">
        <v>58</v>
      </c>
      <c r="E11" s="3" t="s">
        <v>134</v>
      </c>
      <c r="F11" s="3" t="s">
        <v>133</v>
      </c>
      <c r="G11" s="3" t="n">
        <v>610000</v>
      </c>
      <c r="H11" s="3" t="s">
        <v>13</v>
      </c>
      <c r="I11" s="7" t="n">
        <v>7381</v>
      </c>
      <c r="J11" s="3" t="s">
        <v>16</v>
      </c>
      <c r="K11" s="3" t="s">
        <v>14</v>
      </c>
      <c r="L11" s="8" t="n">
        <v>77</v>
      </c>
      <c r="M11" s="3" t="s">
        <v>30</v>
      </c>
      <c r="N11" s="3" t="s">
        <v>24</v>
      </c>
      <c r="O11" s="6" t="n">
        <f aca="false">IF(OR(AND(J11="APAC",I11&gt;5000),AND(J11="EU",I11&gt;6000),AND(J11="US",I11&gt;7000)),1,0)</f>
        <v>1</v>
      </c>
      <c r="P11" s="6" t="n">
        <f aca="false">IF(OR(L11&gt;=70,K11="chargeback"),1,0)</f>
        <v>1</v>
      </c>
    </row>
    <row r="12" customFormat="false" ht="15" hidden="false" customHeight="false" outlineLevel="0" collapsed="false">
      <c r="A12" s="2" t="s">
        <v>60</v>
      </c>
      <c r="B12" s="2" t="s">
        <v>52</v>
      </c>
      <c r="C12" s="2" t="s">
        <v>129</v>
      </c>
      <c r="D12" s="2" t="s">
        <v>40</v>
      </c>
      <c r="E12" s="2" t="s">
        <v>131</v>
      </c>
      <c r="F12" s="2" t="s">
        <v>130</v>
      </c>
      <c r="G12" s="2" t="n">
        <v>195000</v>
      </c>
      <c r="H12" s="2" t="s">
        <v>13</v>
      </c>
      <c r="I12" s="4" t="n">
        <v>2359.5</v>
      </c>
      <c r="J12" s="2" t="s">
        <v>16</v>
      </c>
      <c r="K12" s="2" t="s">
        <v>147</v>
      </c>
      <c r="L12" s="5" t="n">
        <v>61</v>
      </c>
      <c r="M12" s="2" t="s">
        <v>62</v>
      </c>
      <c r="N12" s="2" t="s">
        <v>18</v>
      </c>
      <c r="O12" s="6" t="n">
        <f aca="false">IF(OR(AND(J12="APAC",I12&gt;5000),AND(J12="EU",I12&gt;6000),AND(J12="US",I12&gt;7000)),1,0)</f>
        <v>0</v>
      </c>
      <c r="P12" s="6" t="n">
        <f aca="false">IF(OR(L12&gt;=70,K12="chargeback"),1,0)</f>
        <v>0</v>
      </c>
    </row>
    <row r="13" customFormat="false" ht="15" hidden="false" customHeight="false" outlineLevel="0" collapsed="false">
      <c r="A13" s="3" t="s">
        <v>63</v>
      </c>
      <c r="B13" s="3" t="s">
        <v>64</v>
      </c>
      <c r="C13" s="3" t="s">
        <v>132</v>
      </c>
      <c r="D13" s="3" t="s">
        <v>58</v>
      </c>
      <c r="E13" s="3" t="s">
        <v>134</v>
      </c>
      <c r="F13" s="3" t="s">
        <v>133</v>
      </c>
      <c r="G13" s="3" t="n">
        <v>250000</v>
      </c>
      <c r="H13" s="3" t="s">
        <v>13</v>
      </c>
      <c r="I13" s="7" t="n">
        <v>3000</v>
      </c>
      <c r="J13" s="3" t="s">
        <v>16</v>
      </c>
      <c r="K13" s="3" t="s">
        <v>14</v>
      </c>
      <c r="L13" s="8" t="n">
        <v>61</v>
      </c>
      <c r="M13" s="3" t="s">
        <v>67</v>
      </c>
      <c r="N13" s="3" t="s">
        <v>24</v>
      </c>
      <c r="O13" s="6" t="n">
        <f aca="false">IF(OR(AND(J13="APAC",I13&gt;5000),AND(J13="EU",I13&gt;6000),AND(J13="US",I13&gt;7000)),1,0)</f>
        <v>0</v>
      </c>
      <c r="P13" s="6" t="n">
        <f aca="false">IF(OR(L13&gt;=70,K13="chargeback"),1,0)</f>
        <v>0</v>
      </c>
    </row>
    <row r="14" customFormat="false" ht="15" hidden="false" customHeight="false" outlineLevel="0" collapsed="false">
      <c r="A14" s="2" t="s">
        <v>68</v>
      </c>
      <c r="B14" s="2" t="s">
        <v>64</v>
      </c>
      <c r="C14" s="2" t="s">
        <v>129</v>
      </c>
      <c r="D14" s="2" t="s">
        <v>40</v>
      </c>
      <c r="E14" s="2" t="s">
        <v>131</v>
      </c>
      <c r="F14" s="2" t="s">
        <v>130</v>
      </c>
      <c r="G14" s="2" t="n">
        <v>310000</v>
      </c>
      <c r="H14" s="2" t="s">
        <v>13</v>
      </c>
      <c r="I14" s="4" t="n">
        <v>3720</v>
      </c>
      <c r="J14" s="2" t="s">
        <v>16</v>
      </c>
      <c r="K14" s="2" t="s">
        <v>14</v>
      </c>
      <c r="L14" s="5" t="n">
        <v>54</v>
      </c>
      <c r="M14" s="2" t="s">
        <v>70</v>
      </c>
      <c r="N14" s="2" t="s">
        <v>18</v>
      </c>
      <c r="O14" s="6" t="n">
        <f aca="false">IF(OR(AND(J14="APAC",I14&gt;5000),AND(J14="EU",I14&gt;6000),AND(J14="US",I14&gt;7000)),1,0)</f>
        <v>0</v>
      </c>
      <c r="P14" s="6" t="n">
        <f aca="false">IF(OR(L14&gt;=70,K14="chargeback"),1,0)</f>
        <v>0</v>
      </c>
    </row>
    <row r="15" customFormat="false" ht="15" hidden="false" customHeight="false" outlineLevel="0" collapsed="false">
      <c r="A15" s="3" t="s">
        <v>71</v>
      </c>
      <c r="B15" s="3" t="s">
        <v>64</v>
      </c>
      <c r="C15" s="3" t="s">
        <v>132</v>
      </c>
      <c r="D15" s="3" t="s">
        <v>58</v>
      </c>
      <c r="E15" s="3" t="s">
        <v>134</v>
      </c>
      <c r="F15" s="3" t="s">
        <v>133</v>
      </c>
      <c r="G15" s="3" t="n">
        <v>470000</v>
      </c>
      <c r="H15" s="3" t="s">
        <v>13</v>
      </c>
      <c r="I15" s="7" t="n">
        <v>5640</v>
      </c>
      <c r="J15" s="3" t="s">
        <v>16</v>
      </c>
      <c r="K15" s="3" t="s">
        <v>14</v>
      </c>
      <c r="L15" s="8" t="n">
        <v>73</v>
      </c>
      <c r="M15" s="3" t="s">
        <v>17</v>
      </c>
      <c r="N15" s="3" t="s">
        <v>31</v>
      </c>
      <c r="O15" s="6" t="n">
        <f aca="false">IF(OR(AND(J15="APAC",I15&gt;5000),AND(J15="EU",I15&gt;6000),AND(J15="US",I15&gt;7000)),1,0)</f>
        <v>1</v>
      </c>
      <c r="P15" s="6" t="n">
        <f aca="false">IF(OR(L15&gt;=70,K15="chargeback"),1,0)</f>
        <v>1</v>
      </c>
    </row>
    <row r="16" customFormat="false" ht="15" hidden="false" customHeight="false" outlineLevel="0" collapsed="false">
      <c r="A16" s="2" t="s">
        <v>73</v>
      </c>
      <c r="B16" s="2" t="s">
        <v>64</v>
      </c>
      <c r="C16" s="2" t="s">
        <v>129</v>
      </c>
      <c r="D16" s="2" t="s">
        <v>40</v>
      </c>
      <c r="E16" s="2" t="s">
        <v>131</v>
      </c>
      <c r="F16" s="2" t="s">
        <v>130</v>
      </c>
      <c r="G16" s="2" t="n">
        <v>130000</v>
      </c>
      <c r="H16" s="2" t="s">
        <v>13</v>
      </c>
      <c r="I16" s="4" t="n">
        <v>1560</v>
      </c>
      <c r="J16" s="2" t="s">
        <v>16</v>
      </c>
      <c r="K16" s="2" t="s">
        <v>14</v>
      </c>
      <c r="L16" s="5" t="n">
        <v>52</v>
      </c>
      <c r="M16" s="2" t="s">
        <v>23</v>
      </c>
      <c r="N16" s="2" t="s">
        <v>24</v>
      </c>
      <c r="O16" s="6" t="n">
        <f aca="false">IF(OR(AND(J16="APAC",I16&gt;5000),AND(J16="EU",I16&gt;6000),AND(J16="US",I16&gt;7000)),1,0)</f>
        <v>0</v>
      </c>
      <c r="P16" s="6" t="n">
        <f aca="false">IF(OR(L16&gt;=70,K16="chargeback"),1,0)</f>
        <v>0</v>
      </c>
    </row>
    <row r="17" customFormat="false" ht="15" hidden="false" customHeight="false" outlineLevel="0" collapsed="false">
      <c r="A17" s="3" t="s">
        <v>75</v>
      </c>
      <c r="B17" s="3" t="s">
        <v>76</v>
      </c>
      <c r="C17" s="3" t="s">
        <v>132</v>
      </c>
      <c r="D17" s="3" t="s">
        <v>58</v>
      </c>
      <c r="E17" s="3" t="s">
        <v>134</v>
      </c>
      <c r="F17" s="3" t="s">
        <v>133</v>
      </c>
      <c r="G17" s="3" t="n">
        <v>220000</v>
      </c>
      <c r="H17" s="3" t="s">
        <v>13</v>
      </c>
      <c r="I17" s="7" t="n">
        <v>2596</v>
      </c>
      <c r="J17" s="3" t="s">
        <v>16</v>
      </c>
      <c r="K17" s="3" t="s">
        <v>147</v>
      </c>
      <c r="L17" s="8" t="n">
        <v>69</v>
      </c>
      <c r="M17" s="3" t="s">
        <v>62</v>
      </c>
      <c r="N17" s="3" t="s">
        <v>24</v>
      </c>
      <c r="O17" s="6" t="n">
        <f aca="false">IF(OR(AND(J17="APAC",I17&gt;5000),AND(J17="EU",I17&gt;6000),AND(J17="US",I17&gt;7000)),1,0)</f>
        <v>0</v>
      </c>
      <c r="P17" s="6" t="n">
        <f aca="false">IF(OR(L17&gt;=70,K17="chargeback"),1,0)</f>
        <v>0</v>
      </c>
    </row>
    <row r="18" customFormat="false" ht="15" hidden="false" customHeight="false" outlineLevel="0" collapsed="false">
      <c r="A18" s="2" t="s">
        <v>79</v>
      </c>
      <c r="B18" s="2" t="s">
        <v>76</v>
      </c>
      <c r="C18" s="2" t="s">
        <v>132</v>
      </c>
      <c r="D18" s="2" t="s">
        <v>58</v>
      </c>
      <c r="E18" s="2" t="s">
        <v>134</v>
      </c>
      <c r="F18" s="2" t="s">
        <v>133</v>
      </c>
      <c r="G18" s="2" t="n">
        <v>180000</v>
      </c>
      <c r="H18" s="2" t="s">
        <v>13</v>
      </c>
      <c r="I18" s="4" t="n">
        <v>2124</v>
      </c>
      <c r="J18" s="2" t="s">
        <v>16</v>
      </c>
      <c r="K18" s="2" t="s">
        <v>147</v>
      </c>
      <c r="L18" s="5" t="n">
        <v>72</v>
      </c>
      <c r="M18" s="2" t="s">
        <v>62</v>
      </c>
      <c r="N18" s="2" t="s">
        <v>24</v>
      </c>
      <c r="O18" s="6" t="n">
        <f aca="false">IF(OR(AND(J18="APAC",I18&gt;5000),AND(J18="EU",I18&gt;6000),AND(J18="US",I18&gt;7000)),1,0)</f>
        <v>0</v>
      </c>
      <c r="P18" s="6" t="n">
        <f aca="false">IF(OR(L18&gt;=70,K18="chargeback"),1,0)</f>
        <v>1</v>
      </c>
    </row>
    <row r="19" customFormat="false" ht="15" hidden="false" customHeight="false" outlineLevel="0" collapsed="false">
      <c r="A19" s="3" t="s">
        <v>82</v>
      </c>
      <c r="B19" s="3" t="s">
        <v>76</v>
      </c>
      <c r="C19" s="3" t="s">
        <v>132</v>
      </c>
      <c r="D19" s="3" t="s">
        <v>58</v>
      </c>
      <c r="E19" s="3" t="s">
        <v>134</v>
      </c>
      <c r="F19" s="3" t="s">
        <v>133</v>
      </c>
      <c r="G19" s="3" t="n">
        <v>145000</v>
      </c>
      <c r="H19" s="3" t="s">
        <v>13</v>
      </c>
      <c r="I19" s="7" t="n">
        <v>1711</v>
      </c>
      <c r="J19" s="3" t="s">
        <v>16</v>
      </c>
      <c r="K19" s="3" t="s">
        <v>48</v>
      </c>
      <c r="L19" s="8" t="n">
        <v>86</v>
      </c>
      <c r="M19" s="3" t="s">
        <v>62</v>
      </c>
      <c r="N19" s="3" t="s">
        <v>18</v>
      </c>
      <c r="O19" s="6" t="n">
        <f aca="false">IF(OR(AND(J19="APAC",I19&gt;5000),AND(J19="EU",I19&gt;6000),AND(J19="US",I19&gt;7000)),1,0)</f>
        <v>0</v>
      </c>
      <c r="P19" s="6" t="n">
        <f aca="false">IF(OR(L19&gt;=70,K19="chargeback"),1,0)</f>
        <v>1</v>
      </c>
    </row>
    <row r="20" customFormat="false" ht="15" hidden="false" customHeight="false" outlineLevel="0" collapsed="false">
      <c r="A20" s="2" t="s">
        <v>85</v>
      </c>
      <c r="B20" s="2" t="s">
        <v>76</v>
      </c>
      <c r="C20" s="2" t="s">
        <v>129</v>
      </c>
      <c r="D20" s="2" t="s">
        <v>40</v>
      </c>
      <c r="E20" s="2" t="s">
        <v>131</v>
      </c>
      <c r="F20" s="2" t="s">
        <v>130</v>
      </c>
      <c r="G20" s="2" t="n">
        <v>260000</v>
      </c>
      <c r="H20" s="2" t="s">
        <v>13</v>
      </c>
      <c r="I20" s="4" t="n">
        <v>3068</v>
      </c>
      <c r="J20" s="2" t="s">
        <v>16</v>
      </c>
      <c r="K20" s="2" t="s">
        <v>147</v>
      </c>
      <c r="L20" s="5" t="n">
        <v>67</v>
      </c>
      <c r="M20" s="2" t="s">
        <v>62</v>
      </c>
      <c r="N20" s="2" t="s">
        <v>45</v>
      </c>
      <c r="O20" s="6" t="n">
        <f aca="false">IF(OR(AND(J20="APAC",I20&gt;5000),AND(J20="EU",I20&gt;6000),AND(J20="US",I20&gt;7000)),1,0)</f>
        <v>0</v>
      </c>
      <c r="P20" s="6" t="n">
        <f aca="false">IF(OR(L20&gt;=70,K20="chargeback"),1,0)</f>
        <v>0</v>
      </c>
    </row>
    <row r="21" customFormat="false" ht="15" hidden="false" customHeight="false" outlineLevel="0" collapsed="false">
      <c r="A21" s="3" t="s">
        <v>87</v>
      </c>
      <c r="B21" s="3" t="s">
        <v>76</v>
      </c>
      <c r="C21" s="3" t="s">
        <v>129</v>
      </c>
      <c r="D21" s="3" t="s">
        <v>40</v>
      </c>
      <c r="E21" s="3" t="s">
        <v>131</v>
      </c>
      <c r="F21" s="3" t="s">
        <v>130</v>
      </c>
      <c r="G21" s="3" t="n">
        <v>520000</v>
      </c>
      <c r="H21" s="3" t="s">
        <v>13</v>
      </c>
      <c r="I21" s="7" t="n">
        <v>6136</v>
      </c>
      <c r="J21" s="3" t="s">
        <v>16</v>
      </c>
      <c r="K21" s="3" t="s">
        <v>14</v>
      </c>
      <c r="L21" s="8" t="n">
        <v>75</v>
      </c>
      <c r="M21" s="3" t="s">
        <v>44</v>
      </c>
      <c r="N21" s="3" t="s">
        <v>18</v>
      </c>
      <c r="O21" s="6" t="n">
        <f aca="false">IF(OR(AND(J21="APAC",I21&gt;5000),AND(J21="EU",I21&gt;6000),AND(J21="US",I21&gt;7000)),1,0)</f>
        <v>1</v>
      </c>
      <c r="P21" s="6" t="n">
        <f aca="false">IF(OR(L21&gt;=70,K21="chargeback"),1,0)</f>
        <v>1</v>
      </c>
    </row>
    <row r="22" customFormat="false" ht="15" hidden="false" customHeight="false" outlineLevel="0" collapsed="false">
      <c r="A22" s="2" t="s">
        <v>89</v>
      </c>
      <c r="B22" s="2" t="s">
        <v>90</v>
      </c>
      <c r="C22" s="2" t="s">
        <v>132</v>
      </c>
      <c r="D22" s="2" t="s">
        <v>58</v>
      </c>
      <c r="E22" s="2" t="s">
        <v>134</v>
      </c>
      <c r="F22" s="2" t="s">
        <v>133</v>
      </c>
      <c r="G22" s="2" t="n">
        <v>330000</v>
      </c>
      <c r="H22" s="2" t="s">
        <v>13</v>
      </c>
      <c r="I22" s="4" t="n">
        <v>3927</v>
      </c>
      <c r="J22" s="2" t="s">
        <v>16</v>
      </c>
      <c r="K22" s="2" t="s">
        <v>14</v>
      </c>
      <c r="L22" s="5" t="n">
        <v>63</v>
      </c>
      <c r="M22" s="2" t="s">
        <v>50</v>
      </c>
      <c r="N22" s="2" t="s">
        <v>24</v>
      </c>
      <c r="O22" s="6" t="n">
        <f aca="false">IF(OR(AND(J22="APAC",I22&gt;5000),AND(J22="EU",I22&gt;6000),AND(J22="US",I22&gt;7000)),1,0)</f>
        <v>0</v>
      </c>
      <c r="P22" s="6" t="n">
        <f aca="false">IF(OR(L22&gt;=70,K22="chargeback"),1,0)</f>
        <v>0</v>
      </c>
    </row>
    <row r="23" customFormat="false" ht="15" hidden="false" customHeight="false" outlineLevel="0" collapsed="false">
      <c r="A23" s="3" t="s">
        <v>93</v>
      </c>
      <c r="B23" s="3" t="s">
        <v>90</v>
      </c>
      <c r="C23" s="3" t="s">
        <v>129</v>
      </c>
      <c r="D23" s="3" t="s">
        <v>40</v>
      </c>
      <c r="E23" s="3" t="s">
        <v>131</v>
      </c>
      <c r="F23" s="3" t="s">
        <v>130</v>
      </c>
      <c r="G23" s="3" t="n">
        <v>410000</v>
      </c>
      <c r="H23" s="3" t="s">
        <v>13</v>
      </c>
      <c r="I23" s="7" t="n">
        <v>4879</v>
      </c>
      <c r="J23" s="3" t="s">
        <v>16</v>
      </c>
      <c r="K23" s="3" t="s">
        <v>14</v>
      </c>
      <c r="L23" s="8" t="n">
        <v>60</v>
      </c>
      <c r="M23" s="3" t="s">
        <v>54</v>
      </c>
      <c r="N23" s="3" t="s">
        <v>18</v>
      </c>
      <c r="O23" s="6" t="n">
        <f aca="false">IF(OR(AND(J23="APAC",I23&gt;5000),AND(J23="EU",I23&gt;6000),AND(J23="US",I23&gt;7000)),1,0)</f>
        <v>0</v>
      </c>
      <c r="P23" s="6" t="n">
        <f aca="false">IF(OR(L23&gt;=70,K23="chargeback"),1,0)</f>
        <v>0</v>
      </c>
    </row>
    <row r="24" customFormat="false" ht="15" hidden="false" customHeight="false" outlineLevel="0" collapsed="false">
      <c r="A24" s="2" t="s">
        <v>95</v>
      </c>
      <c r="B24" s="2" t="s">
        <v>11</v>
      </c>
      <c r="C24" s="2" t="s">
        <v>135</v>
      </c>
      <c r="D24" s="2" t="s">
        <v>96</v>
      </c>
      <c r="E24" s="2" t="s">
        <v>137</v>
      </c>
      <c r="F24" s="2" t="s">
        <v>136</v>
      </c>
      <c r="G24" s="2" t="n">
        <v>5200</v>
      </c>
      <c r="H24" s="2" t="s">
        <v>97</v>
      </c>
      <c r="I24" s="4" t="n">
        <v>5616</v>
      </c>
      <c r="J24" s="2" t="s">
        <v>103</v>
      </c>
      <c r="K24" s="2" t="s">
        <v>14</v>
      </c>
      <c r="L24" s="5" t="n">
        <v>42</v>
      </c>
      <c r="M24" s="2" t="s">
        <v>30</v>
      </c>
      <c r="N24" s="2" t="s">
        <v>24</v>
      </c>
      <c r="O24" s="6" t="n">
        <f aca="false">IF(OR(AND(J24="APAC",I24&gt;5000),AND(J24="EU",I24&gt;6000),AND(J24="US",I24&gt;7000)),1,0)</f>
        <v>0</v>
      </c>
      <c r="P24" s="6" t="n">
        <f aca="false">IF(OR(L24&gt;=70,K24="chargeback"),1,0)</f>
        <v>0</v>
      </c>
    </row>
    <row r="25" customFormat="false" ht="15" hidden="false" customHeight="false" outlineLevel="0" collapsed="false">
      <c r="A25" s="3" t="s">
        <v>100</v>
      </c>
      <c r="B25" s="3" t="s">
        <v>33</v>
      </c>
      <c r="C25" s="3" t="s">
        <v>141</v>
      </c>
      <c r="D25" s="3" t="s">
        <v>101</v>
      </c>
      <c r="E25" s="3" t="s">
        <v>143</v>
      </c>
      <c r="F25" s="3" t="s">
        <v>142</v>
      </c>
      <c r="G25" s="3" t="n">
        <v>6100</v>
      </c>
      <c r="H25" s="3" t="s">
        <v>97</v>
      </c>
      <c r="I25" s="7" t="n">
        <v>6649</v>
      </c>
      <c r="J25" s="3" t="s">
        <v>103</v>
      </c>
      <c r="K25" s="3" t="s">
        <v>48</v>
      </c>
      <c r="L25" s="8" t="n">
        <v>65</v>
      </c>
      <c r="M25" s="3" t="s">
        <v>38</v>
      </c>
      <c r="N25" s="3" t="s">
        <v>24</v>
      </c>
      <c r="O25" s="6" t="n">
        <f aca="false">IF(OR(AND(J25="APAC",I25&gt;5000),AND(J25="EU",I25&gt;6000),AND(J25="US",I25&gt;7000)),1,0)</f>
        <v>1</v>
      </c>
      <c r="P25" s="6" t="n">
        <f aca="false">IF(OR(L25&gt;=70,K25="chargeback"),1,0)</f>
        <v>1</v>
      </c>
    </row>
    <row r="26" customFormat="false" ht="15" hidden="false" customHeight="false" outlineLevel="0" collapsed="false">
      <c r="A26" s="2" t="s">
        <v>104</v>
      </c>
      <c r="B26" s="2" t="s">
        <v>52</v>
      </c>
      <c r="C26" s="2" t="s">
        <v>135</v>
      </c>
      <c r="D26" s="2" t="s">
        <v>96</v>
      </c>
      <c r="E26" s="2" t="s">
        <v>137</v>
      </c>
      <c r="F26" s="2" t="s">
        <v>136</v>
      </c>
      <c r="G26" s="2" t="n">
        <v>2800</v>
      </c>
      <c r="H26" s="2" t="s">
        <v>97</v>
      </c>
      <c r="I26" s="4" t="n">
        <v>3024</v>
      </c>
      <c r="J26" s="2" t="s">
        <v>103</v>
      </c>
      <c r="K26" s="2" t="s">
        <v>14</v>
      </c>
      <c r="L26" s="5" t="n">
        <v>38</v>
      </c>
      <c r="M26" s="2" t="s">
        <v>44</v>
      </c>
      <c r="N26" s="2" t="s">
        <v>45</v>
      </c>
      <c r="O26" s="6" t="n">
        <f aca="false">IF(OR(AND(J26="APAC",I26&gt;5000),AND(J26="EU",I26&gt;6000),AND(J26="US",I26&gt;7000)),1,0)</f>
        <v>0</v>
      </c>
      <c r="P26" s="6" t="n">
        <f aca="false">IF(OR(L26&gt;=70,K26="chargeback"),1,0)</f>
        <v>0</v>
      </c>
    </row>
    <row r="27" customFormat="false" ht="15" hidden="false" customHeight="false" outlineLevel="0" collapsed="false">
      <c r="A27" s="3" t="s">
        <v>107</v>
      </c>
      <c r="B27" s="3" t="s">
        <v>76</v>
      </c>
      <c r="C27" s="3" t="s">
        <v>141</v>
      </c>
      <c r="D27" s="3" t="s">
        <v>101</v>
      </c>
      <c r="E27" s="3" t="s">
        <v>143</v>
      </c>
      <c r="F27" s="3" t="s">
        <v>142</v>
      </c>
      <c r="G27" s="3" t="n">
        <v>3300</v>
      </c>
      <c r="H27" s="3" t="s">
        <v>97</v>
      </c>
      <c r="I27" s="7" t="n">
        <v>3597</v>
      </c>
      <c r="J27" s="3" t="s">
        <v>103</v>
      </c>
      <c r="K27" s="3" t="s">
        <v>147</v>
      </c>
      <c r="L27" s="8" t="n">
        <v>44</v>
      </c>
      <c r="M27" s="3" t="s">
        <v>50</v>
      </c>
      <c r="N27" s="3" t="s">
        <v>31</v>
      </c>
      <c r="O27" s="6" t="n">
        <f aca="false">IF(OR(AND(J27="APAC",I27&gt;5000),AND(J27="EU",I27&gt;6000),AND(J27="US",I27&gt;7000)),1,0)</f>
        <v>0</v>
      </c>
      <c r="P27" s="6" t="n">
        <f aca="false">IF(OR(L27&gt;=70,K27="chargeback"),1,0)</f>
        <v>0</v>
      </c>
    </row>
    <row r="28" customFormat="false" ht="15" hidden="false" customHeight="false" outlineLevel="0" collapsed="false">
      <c r="A28" s="2" t="s">
        <v>109</v>
      </c>
      <c r="B28" s="2" t="s">
        <v>11</v>
      </c>
      <c r="C28" s="2" t="s">
        <v>138</v>
      </c>
      <c r="D28" s="2" t="s">
        <v>115</v>
      </c>
      <c r="E28" s="2" t="s">
        <v>140</v>
      </c>
      <c r="F28" s="2" t="s">
        <v>139</v>
      </c>
      <c r="G28" s="2" t="n">
        <v>7200</v>
      </c>
      <c r="H28" s="2" t="s">
        <v>111</v>
      </c>
      <c r="I28" s="4" t="n">
        <v>7200</v>
      </c>
      <c r="J28" s="2" t="s">
        <v>117</v>
      </c>
      <c r="K28" s="2" t="s">
        <v>14</v>
      </c>
      <c r="L28" s="5" t="n">
        <v>49</v>
      </c>
      <c r="M28" s="2" t="s">
        <v>54</v>
      </c>
      <c r="N28" s="2" t="s">
        <v>24</v>
      </c>
      <c r="O28" s="6" t="n">
        <f aca="false">IF(OR(AND(J28="APAC",I28&gt;5000),AND(J28="EU",I28&gt;6000),AND(J28="US",I28&gt;7000)),1,0)</f>
        <v>1</v>
      </c>
      <c r="P28" s="6" t="n">
        <f aca="false">IF(OR(L28&gt;=70,K28="chargeback"),1,0)</f>
        <v>0</v>
      </c>
    </row>
    <row r="29" customFormat="false" ht="15" hidden="false" customHeight="false" outlineLevel="0" collapsed="false">
      <c r="A29" s="3" t="s">
        <v>114</v>
      </c>
      <c r="B29" s="3" t="s">
        <v>33</v>
      </c>
      <c r="C29" s="3" t="s">
        <v>138</v>
      </c>
      <c r="D29" s="3" t="s">
        <v>115</v>
      </c>
      <c r="E29" s="3" t="s">
        <v>140</v>
      </c>
      <c r="F29" s="3" t="s">
        <v>139</v>
      </c>
      <c r="G29" s="3" t="n">
        <v>3100</v>
      </c>
      <c r="H29" s="3" t="s">
        <v>111</v>
      </c>
      <c r="I29" s="7" t="n">
        <v>3100</v>
      </c>
      <c r="J29" s="3" t="s">
        <v>117</v>
      </c>
      <c r="K29" s="3" t="s">
        <v>14</v>
      </c>
      <c r="L29" s="8" t="n">
        <v>41</v>
      </c>
      <c r="M29" s="3" t="s">
        <v>62</v>
      </c>
      <c r="N29" s="3" t="s">
        <v>24</v>
      </c>
      <c r="O29" s="6" t="n">
        <f aca="false">IF(OR(AND(J29="APAC",I29&gt;5000),AND(J29="EU",I29&gt;6000),AND(J29="US",I29&gt;7000)),1,0)</f>
        <v>0</v>
      </c>
      <c r="P29" s="6" t="n">
        <f aca="false">IF(OR(L29&gt;=70,K29="chargeback"),1,0)</f>
        <v>0</v>
      </c>
    </row>
    <row r="30" customFormat="false" ht="15" hidden="false" customHeight="false" outlineLevel="0" collapsed="false">
      <c r="A30" s="2" t="s">
        <v>118</v>
      </c>
      <c r="B30" s="2" t="s">
        <v>64</v>
      </c>
      <c r="C30" s="2" t="s">
        <v>138</v>
      </c>
      <c r="D30" s="2" t="s">
        <v>115</v>
      </c>
      <c r="E30" s="2" t="s">
        <v>140</v>
      </c>
      <c r="F30" s="2" t="s">
        <v>139</v>
      </c>
      <c r="G30" s="2" t="n">
        <v>2500</v>
      </c>
      <c r="H30" s="2" t="s">
        <v>111</v>
      </c>
      <c r="I30" s="4" t="n">
        <v>2500</v>
      </c>
      <c r="J30" s="2" t="s">
        <v>117</v>
      </c>
      <c r="K30" s="2" t="s">
        <v>48</v>
      </c>
      <c r="L30" s="5" t="n">
        <v>58</v>
      </c>
      <c r="M30" s="2" t="s">
        <v>67</v>
      </c>
      <c r="N30" s="2" t="s">
        <v>45</v>
      </c>
      <c r="O30" s="6" t="n">
        <f aca="false">IF(OR(AND(J30="APAC",I30&gt;5000),AND(J30="EU",I30&gt;6000),AND(J30="US",I30&gt;7000)),1,0)</f>
        <v>0</v>
      </c>
      <c r="P30" s="6" t="n">
        <f aca="false">IF(OR(L30&gt;=70,K30="chargeback"),1,0)</f>
        <v>1</v>
      </c>
    </row>
    <row r="31" customFormat="false" ht="15" hidden="false" customHeight="false" outlineLevel="0" collapsed="false">
      <c r="A31" s="3" t="s">
        <v>121</v>
      </c>
      <c r="B31" s="3" t="s">
        <v>90</v>
      </c>
      <c r="C31" s="3" t="s">
        <v>138</v>
      </c>
      <c r="D31" s="3" t="s">
        <v>115</v>
      </c>
      <c r="E31" s="3" t="s">
        <v>140</v>
      </c>
      <c r="F31" s="3" t="s">
        <v>139</v>
      </c>
      <c r="G31" s="3" t="n">
        <v>1800</v>
      </c>
      <c r="H31" s="3" t="s">
        <v>111</v>
      </c>
      <c r="I31" s="7" t="n">
        <v>1800</v>
      </c>
      <c r="J31" s="3" t="s">
        <v>117</v>
      </c>
      <c r="K31" s="3" t="s">
        <v>147</v>
      </c>
      <c r="L31" s="8" t="n">
        <v>47</v>
      </c>
      <c r="M31" s="3" t="s">
        <v>70</v>
      </c>
      <c r="N31" s="3" t="s">
        <v>18</v>
      </c>
      <c r="O31" s="6" t="n">
        <f aca="false">IF(OR(AND(J31="APAC",I31&gt;5000),AND(J31="EU",I31&gt;6000),AND(J31="US",I31&gt;7000)),1,0)</f>
        <v>0</v>
      </c>
      <c r="P31" s="6" t="n">
        <f aca="false">IF(OR(L31&gt;=70,K31="chargeback"),1,0)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4" min="3" style="0" width="18"/>
    <col collapsed="false" customWidth="true" hidden="false" outlineLevel="0" max="5" min="5" style="0" width="17"/>
    <col collapsed="false" customWidth="true" hidden="false" outlineLevel="0" max="6" min="6" style="0" width="13"/>
    <col collapsed="false" customWidth="true" hidden="false" outlineLevel="0" max="8" min="7" style="0" width="15"/>
    <col collapsed="false" customWidth="true" hidden="false" outlineLevel="0" max="9" min="9" style="0" width="17"/>
    <col collapsed="false" customWidth="true" hidden="false" outlineLevel="0" max="10" min="10" style="0" width="20"/>
  </cols>
  <sheetData>
    <row r="1" customFormat="false" ht="30" hidden="false" customHeight="true" outlineLevel="0" collapsed="false">
      <c r="A1" s="1" t="s">
        <v>2</v>
      </c>
      <c r="B1" s="1" t="s">
        <v>125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</row>
    <row r="2" customFormat="false" ht="15" hidden="false" customHeight="false" outlineLevel="0" collapsed="false">
      <c r="A2" s="9" t="s">
        <v>40</v>
      </c>
      <c r="B2" s="2" t="s">
        <v>129</v>
      </c>
      <c r="C2" s="10" t="n">
        <f aca="false">COUNTIF(Cleaned_Transactions!D2:D31,A2)</f>
        <v>11</v>
      </c>
      <c r="D2" s="4" t="n">
        <f aca="false">SUMPRODUCT((Cleaned_Transactions!D2:D31=A2)*(Cleaned_Transactions!K2:K31="captured")*(Cleaned_Transactions!I2:I31))</f>
        <v>29984.5</v>
      </c>
      <c r="E2" s="10" t="n">
        <f aca="false">COUNTIFS(Cleaned_Transactions!D2:D31,A2,Cleaned_Transactions!K2:K31,"chargeback")</f>
        <v>1</v>
      </c>
      <c r="F2" s="10" t="n">
        <f aca="false">COUNTIFS(Cleaned_Transactions!D2:D31,A2,Cleaned_Transactions!K2:K31,"failed")</f>
        <v>2</v>
      </c>
      <c r="G2" s="5" t="n">
        <f aca="false">AVERAGEIF(Cleaned_Transactions!D2:D31,A2,Cleaned_Transactions!L2:L31)</f>
        <v>61.1818181818182</v>
      </c>
      <c r="H2" s="10" t="n">
        <f aca="false">SUMPRODUCT((Cleaned_Transactions!D2:D31=A2)*(Cleaned_Transactions!P2:P31))</f>
        <v>2</v>
      </c>
      <c r="I2" s="10" t="n">
        <f aca="false">SUMPRODUCT((Cleaned_Transactions!D2:D31=A2)*(Cleaned_Transactions!O2:O31))</f>
        <v>2</v>
      </c>
      <c r="J2" s="5" t="n">
        <f aca="false">IFERROR(E2/C2*100,0)</f>
        <v>9.09090909090909</v>
      </c>
    </row>
    <row r="3" customFormat="false" ht="15" hidden="false" customHeight="false" outlineLevel="0" collapsed="false">
      <c r="A3" s="11" t="s">
        <v>58</v>
      </c>
      <c r="B3" s="3" t="s">
        <v>132</v>
      </c>
      <c r="C3" s="12" t="n">
        <f aca="false">COUNTIF(Cleaned_Transactions!D2:D31,A3)</f>
        <v>11</v>
      </c>
      <c r="D3" s="7" t="n">
        <f aca="false">SUMPRODUCT((Cleaned_Transactions!D2:D31=A3)*(Cleaned_Transactions!K2:K31="captured")*(Cleaned_Transactions!I2:I31))</f>
        <v>33431</v>
      </c>
      <c r="E3" s="12" t="n">
        <f aca="false">COUNTIFS(Cleaned_Transactions!D2:D31,A3,Cleaned_Transactions!K2:K31,"chargeback")</f>
        <v>1</v>
      </c>
      <c r="F3" s="12" t="n">
        <f aca="false">COUNTIFS(Cleaned_Transactions!D2:D31,A3,Cleaned_Transactions!K2:K31,"failed")</f>
        <v>3</v>
      </c>
      <c r="G3" s="8" t="n">
        <f aca="false">AVERAGEIF(Cleaned_Transactions!D2:D31,A3,Cleaned_Transactions!L2:L31)</f>
        <v>69.3636363636364</v>
      </c>
      <c r="H3" s="12" t="n">
        <f aca="false">SUMPRODUCT((Cleaned_Transactions!D2:D31=A3)*(Cleaned_Transactions!P2:P31))</f>
        <v>5</v>
      </c>
      <c r="I3" s="12" t="n">
        <f aca="false">SUMPRODUCT((Cleaned_Transactions!D2:D31=A3)*(Cleaned_Transactions!O2:O31))</f>
        <v>3</v>
      </c>
      <c r="J3" s="8" t="n">
        <f aca="false">IFERROR(E3/C3*100,0)</f>
        <v>9.09090909090909</v>
      </c>
    </row>
    <row r="4" customFormat="false" ht="15" hidden="false" customHeight="false" outlineLevel="0" collapsed="false">
      <c r="A4" s="9" t="s">
        <v>96</v>
      </c>
      <c r="B4" s="2" t="s">
        <v>135</v>
      </c>
      <c r="C4" s="10" t="n">
        <f aca="false">COUNTIF(Cleaned_Transactions!D2:D31,A4)</f>
        <v>2</v>
      </c>
      <c r="D4" s="4" t="n">
        <f aca="false">SUMPRODUCT((Cleaned_Transactions!D2:D31=A4)*(Cleaned_Transactions!K2:K31="captured")*(Cleaned_Transactions!I2:I31))</f>
        <v>8640</v>
      </c>
      <c r="E4" s="10" t="n">
        <f aca="false">COUNTIFS(Cleaned_Transactions!D2:D31,A4,Cleaned_Transactions!K2:K31,"chargeback")</f>
        <v>0</v>
      </c>
      <c r="F4" s="10" t="n">
        <f aca="false">COUNTIFS(Cleaned_Transactions!D2:D31,A4,Cleaned_Transactions!K2:K31,"failed")</f>
        <v>0</v>
      </c>
      <c r="G4" s="5" t="n">
        <f aca="false">AVERAGEIF(Cleaned_Transactions!D2:D31,A4,Cleaned_Transactions!L2:L31)</f>
        <v>40</v>
      </c>
      <c r="H4" s="10" t="n">
        <f aca="false">SUMPRODUCT((Cleaned_Transactions!D2:D31=A4)*(Cleaned_Transactions!P2:P31))</f>
        <v>0</v>
      </c>
      <c r="I4" s="10" t="n">
        <f aca="false">SUMPRODUCT((Cleaned_Transactions!D2:D31=A4)*(Cleaned_Transactions!O2:O31))</f>
        <v>0</v>
      </c>
      <c r="J4" s="5" t="n">
        <f aca="false">IFERROR(E4/C4*100,0)</f>
        <v>0</v>
      </c>
    </row>
    <row r="5" customFormat="false" ht="15" hidden="false" customHeight="false" outlineLevel="0" collapsed="false">
      <c r="A5" s="11" t="s">
        <v>115</v>
      </c>
      <c r="B5" s="3" t="s">
        <v>138</v>
      </c>
      <c r="C5" s="12" t="n">
        <f aca="false">COUNTIF(Cleaned_Transactions!D2:D31,A5)</f>
        <v>4</v>
      </c>
      <c r="D5" s="7" t="n">
        <f aca="false">SUMPRODUCT((Cleaned_Transactions!D2:D31=A5)*(Cleaned_Transactions!K2:K31="captured")*(Cleaned_Transactions!I2:I31))</f>
        <v>10300</v>
      </c>
      <c r="E5" s="12" t="n">
        <f aca="false">COUNTIFS(Cleaned_Transactions!D2:D31,A5,Cleaned_Transactions!K2:K31,"chargeback")</f>
        <v>1</v>
      </c>
      <c r="F5" s="12" t="n">
        <f aca="false">COUNTIFS(Cleaned_Transactions!D2:D31,A5,Cleaned_Transactions!K2:K31,"failed")</f>
        <v>1</v>
      </c>
      <c r="G5" s="8" t="n">
        <f aca="false">AVERAGEIF(Cleaned_Transactions!D2:D31,A5,Cleaned_Transactions!L2:L31)</f>
        <v>48.75</v>
      </c>
      <c r="H5" s="12" t="n">
        <f aca="false">SUMPRODUCT((Cleaned_Transactions!D2:D31=A5)*(Cleaned_Transactions!P2:P31))</f>
        <v>1</v>
      </c>
      <c r="I5" s="12" t="n">
        <f aca="false">SUMPRODUCT((Cleaned_Transactions!D2:D31=A5)*(Cleaned_Transactions!O2:O31))</f>
        <v>1</v>
      </c>
      <c r="J5" s="8" t="n">
        <f aca="false">IFERROR(E5/C5*100,0)</f>
        <v>25</v>
      </c>
    </row>
    <row r="6" customFormat="false" ht="15" hidden="false" customHeight="false" outlineLevel="0" collapsed="false">
      <c r="A6" s="9" t="s">
        <v>101</v>
      </c>
      <c r="B6" s="2" t="s">
        <v>141</v>
      </c>
      <c r="C6" s="10" t="n">
        <f aca="false">COUNTIF(Cleaned_Transactions!D2:D31,A6)</f>
        <v>2</v>
      </c>
      <c r="D6" s="4" t="n">
        <f aca="false">SUMPRODUCT((Cleaned_Transactions!D2:D31=A6)*(Cleaned_Transactions!K2:K31="captured")*(Cleaned_Transactions!I2:I31))</f>
        <v>0</v>
      </c>
      <c r="E6" s="10" t="n">
        <f aca="false">COUNTIFS(Cleaned_Transactions!D2:D31,A6,Cleaned_Transactions!K2:K31,"chargeback")</f>
        <v>1</v>
      </c>
      <c r="F6" s="10" t="n">
        <f aca="false">COUNTIFS(Cleaned_Transactions!D2:D31,A6,Cleaned_Transactions!K2:K31,"failed")</f>
        <v>1</v>
      </c>
      <c r="G6" s="5" t="n">
        <f aca="false">AVERAGEIF(Cleaned_Transactions!D2:D31,A6,Cleaned_Transactions!L2:L31)</f>
        <v>54.5</v>
      </c>
      <c r="H6" s="10" t="n">
        <f aca="false">SUMPRODUCT((Cleaned_Transactions!D2:D31=A6)*(Cleaned_Transactions!P2:P31))</f>
        <v>1</v>
      </c>
      <c r="I6" s="10" t="n">
        <f aca="false">SUMPRODUCT((Cleaned_Transactions!D2:D31=A6)*(Cleaned_Transactions!O2:O31))</f>
        <v>1</v>
      </c>
      <c r="J6" s="5" t="n">
        <f aca="false">IFERROR(E6/C6*100,0)</f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3" t="s">
        <v>156</v>
      </c>
      <c r="B1" s="13"/>
      <c r="C1" s="13"/>
    </row>
    <row r="3" customFormat="false" ht="15" hidden="false" customHeight="false" outlineLevel="0" collapsed="false">
      <c r="A3" s="1" t="s">
        <v>157</v>
      </c>
      <c r="B3" s="1" t="s">
        <v>158</v>
      </c>
      <c r="C3" s="1" t="s">
        <v>159</v>
      </c>
    </row>
    <row r="4" customFormat="false" ht="15" hidden="false" customHeight="false" outlineLevel="0" collapsed="false">
      <c r="A4" s="9" t="s">
        <v>160</v>
      </c>
      <c r="B4" s="2" t="n">
        <v>30</v>
      </c>
      <c r="C4" s="2" t="s">
        <v>161</v>
      </c>
    </row>
    <row r="5" customFormat="false" ht="15" hidden="false" customHeight="false" outlineLevel="0" collapsed="false">
      <c r="A5" s="11" t="s">
        <v>162</v>
      </c>
      <c r="B5" s="3" t="n">
        <v>30</v>
      </c>
      <c r="C5" s="3" t="s">
        <v>163</v>
      </c>
    </row>
    <row r="6" customFormat="false" ht="15" hidden="false" customHeight="false" outlineLevel="0" collapsed="false">
      <c r="A6" s="9" t="s">
        <v>164</v>
      </c>
      <c r="B6" s="2" t="n">
        <v>1</v>
      </c>
      <c r="C6" s="2" t="s">
        <v>165</v>
      </c>
    </row>
    <row r="7" customFormat="false" ht="15" hidden="false" customHeight="false" outlineLevel="0" collapsed="false">
      <c r="A7" s="11" t="s">
        <v>166</v>
      </c>
      <c r="B7" s="3" t="n">
        <v>9</v>
      </c>
      <c r="C7" s="3" t="s">
        <v>167</v>
      </c>
    </row>
    <row r="8" customFormat="false" ht="15" hidden="false" customHeight="false" outlineLevel="0" collapsed="false">
      <c r="A8" s="9" t="s">
        <v>168</v>
      </c>
      <c r="B8" s="2" t="n">
        <v>7</v>
      </c>
      <c r="C8" s="2" t="s">
        <v>169</v>
      </c>
    </row>
    <row r="9" customFormat="false" ht="15" hidden="false" customHeight="false" outlineLevel="0" collapsed="false">
      <c r="A9" s="11" t="s">
        <v>170</v>
      </c>
      <c r="B9" s="3" t="n">
        <v>9</v>
      </c>
      <c r="C9" s="3" t="s">
        <v>171</v>
      </c>
    </row>
    <row r="10" customFormat="false" ht="15" hidden="false" customHeight="false" outlineLevel="0" collapsed="false">
      <c r="A10" s="9" t="s">
        <v>172</v>
      </c>
      <c r="B10" s="2" t="s">
        <v>16</v>
      </c>
      <c r="C10" s="2" t="s">
        <v>173</v>
      </c>
    </row>
    <row r="11" customFormat="false" ht="15" hidden="false" customHeight="false" outlineLevel="0" collapsed="false">
      <c r="A11" s="11" t="s">
        <v>174</v>
      </c>
      <c r="B11" s="3" t="s">
        <v>58</v>
      </c>
      <c r="C11" s="3" t="s">
        <v>175</v>
      </c>
    </row>
    <row r="12" customFormat="false" ht="15" hidden="false" customHeight="false" outlineLevel="0" collapsed="false">
      <c r="A12" s="9" t="s">
        <v>176</v>
      </c>
      <c r="B12" s="2" t="n">
        <v>82355.5</v>
      </c>
      <c r="C12" s="2" t="s">
        <v>177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2026-05-08T18:45:57Z</dcterms:created>
  <dc:creator>openpyxl</dc:creator>
  <dc:description/>
  <dc:language>en-US</dc:language>
  <cp:lastModifiedBy/>
  <dcterms:modified xsi:type="dcterms:W3CDTF">2026-05-08T18:45:57Z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